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IFS_Greenbook_BlueBook\Sella_Timesheets\Template\"/>
    </mc:Choice>
  </mc:AlternateContent>
  <xr:revisionPtr revIDLastSave="0" documentId="8_{89C0C559-60DB-48EE-807D-7AD7487DD915}" xr6:coauthVersionLast="47" xr6:coauthVersionMax="47" xr10:uidLastSave="{00000000-0000-0000-0000-000000000000}"/>
  <bookViews>
    <workbookView xWindow="-17928" yWindow="-17388" windowWidth="30936" windowHeight="16776" tabRatio="466" activeTab="1" xr2:uid="{00000000-000D-0000-FFFF-FFFF00000000}"/>
  </bookViews>
  <sheets>
    <sheet name="Table1" sheetId="12" r:id="rId1"/>
    <sheet name="TD028 Timesheet (Electronic)" sheetId="6" r:id="rId2"/>
    <sheet name="Booking Codes " sheetId="13" r:id="rId3"/>
  </sheets>
  <definedNames>
    <definedName name="black">'TD028 Timesheet (Electronic)'!$BI$104:$BJ$561</definedName>
    <definedName name="CalWk">'TD028 Timesheet (Electronic)'!$BD$86:$BG$142</definedName>
    <definedName name="Emp">'TD028 Timesheet (Electronic)'!$BI$86:$BL$277</definedName>
    <definedName name="EmpConHrs">'TD028 Timesheet (Electronic)'!$BI$85:$BL$277</definedName>
    <definedName name="ExternalData_1" localSheetId="1" hidden="1">'TD028 Timesheet (Electronic)'!$BO$85:$BT$843</definedName>
    <definedName name="ExternalData_2" localSheetId="1" hidden="1">'TD028 Timesheet (Electronic)'!$BH$85:$BL$266</definedName>
    <definedName name="ExternalData_3" localSheetId="0" hidden="1">Table1!$A$1:$A$22</definedName>
    <definedName name="F_A__Admin">'TD028 Timesheet (Electronic)'!$BN$87:$BN$91</definedName>
    <definedName name="IRELAND">'TD028 Timesheet (Electronic)'!$A$1</definedName>
    <definedName name="Jobs">#REF!</definedName>
    <definedName name="Location">'TD028 Timesheet (Electronic)'!$BC$86:$BC$89</definedName>
    <definedName name="name">'TD028 Timesheet (Electronic)'!$A$1</definedName>
    <definedName name="names">'TD028 Timesheet (Electronic)'!$EI$137</definedName>
    <definedName name="NName">'TD028 Timesheet (Electronic)'!$BH$85:$BL$277</definedName>
    <definedName name="OpenJobs">#REF!</definedName>
    <definedName name="OpenJobsExtData" localSheetId="2">#REF!</definedName>
    <definedName name="OpenJobsExtData">#REF!</definedName>
    <definedName name="PremRates">'TD028 Timesheet (Electronic)'!$BC$92:$BC$94</definedName>
    <definedName name="_xlnm.Print_Area" localSheetId="1">'TD028 Timesheet (Electronic)'!$B$8:$Z$32</definedName>
    <definedName name="ReportingSQL" localSheetId="1" hidden="1" xml:space="preserve">    'TD028 Timesheet (Electronic)'!$BD$85:$BD$451</definedName>
    <definedName name="Week">'TD028 Timesheet (Electronic)'!$BD$86:$BF$142</definedName>
    <definedName name="WkCom">'TD028 Timesheet (Electronic)'!$BD$86:$BD$142</definedName>
    <definedName name="WkNo">'TD028 Timesheet (Electronic)'!$BE$86:$BE$142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" l="1"/>
  <c r="H10" i="6"/>
  <c r="G27" i="6"/>
  <c r="E21" i="6"/>
  <c r="E22" i="6"/>
  <c r="E23" i="6"/>
  <c r="E24" i="6"/>
  <c r="E25" i="6"/>
  <c r="E26" i="6"/>
  <c r="E20" i="6"/>
  <c r="D31" i="6" l="1"/>
  <c r="K50" i="6" l="1"/>
  <c r="V28" i="6" l="1"/>
  <c r="AA27" i="6" l="1"/>
  <c r="N10" i="6"/>
  <c r="BB91" i="6" l="1"/>
  <c r="BA91" i="6" s="1"/>
  <c r="BB90" i="6"/>
  <c r="BA90" i="6" s="1"/>
  <c r="BB89" i="6"/>
  <c r="BA89" i="6" s="1"/>
  <c r="BB88" i="6"/>
  <c r="BA88" i="6" s="1"/>
  <c r="BB87" i="6"/>
  <c r="BA87" i="6" s="1"/>
  <c r="BB86" i="6"/>
  <c r="BA86" i="6" s="1"/>
  <c r="BB85" i="6"/>
  <c r="BA85" i="6" s="1"/>
  <c r="W27" i="6" l="1"/>
  <c r="F27" i="6"/>
  <c r="CA87" i="6" l="1"/>
  <c r="CA88" i="6" s="1"/>
  <c r="CA89" i="6" s="1"/>
  <c r="CA90" i="6" s="1"/>
  <c r="CA91" i="6" s="1"/>
  <c r="CA92" i="6" s="1"/>
  <c r="CA93" i="6" s="1"/>
  <c r="CA94" i="6" s="1"/>
  <c r="CA95" i="6" s="1"/>
  <c r="CA96" i="6" s="1"/>
  <c r="CA97" i="6" s="1"/>
  <c r="CA98" i="6" s="1"/>
  <c r="CA99" i="6" s="1"/>
  <c r="CA100" i="6" s="1"/>
  <c r="CA101" i="6" s="1"/>
  <c r="CA102" i="6" s="1"/>
  <c r="CA103" i="6" s="1"/>
  <c r="CA104" i="6" s="1"/>
  <c r="CA105" i="6" s="1"/>
  <c r="CA106" i="6" s="1"/>
  <c r="CA107" i="6" s="1"/>
  <c r="CA108" i="6" s="1"/>
  <c r="CA109" i="6" s="1"/>
  <c r="CA110" i="6" s="1"/>
  <c r="CA111" i="6" s="1"/>
  <c r="CA112" i="6" s="1"/>
  <c r="CA113" i="6" s="1"/>
  <c r="CA114" i="6" s="1"/>
  <c r="CA115" i="6" s="1"/>
  <c r="CA116" i="6" s="1"/>
  <c r="CA117" i="6" s="1"/>
  <c r="CA118" i="6" s="1"/>
  <c r="CA119" i="6" s="1"/>
  <c r="CA120" i="6" s="1"/>
  <c r="CA121" i="6" s="1"/>
  <c r="CA122" i="6" s="1"/>
  <c r="CA123" i="6" s="1"/>
  <c r="CA124" i="6" s="1"/>
  <c r="CA125" i="6" s="1"/>
  <c r="CA126" i="6" s="1"/>
  <c r="CA127" i="6" s="1"/>
  <c r="CA128" i="6" s="1"/>
  <c r="CA129" i="6" s="1"/>
  <c r="CA130" i="6" s="1"/>
  <c r="CA131" i="6" s="1"/>
  <c r="CA132" i="6" s="1"/>
  <c r="CA133" i="6" s="1"/>
  <c r="CA134" i="6" s="1"/>
  <c r="CA135" i="6" s="1"/>
  <c r="CA136" i="6" s="1"/>
  <c r="CA137" i="6" s="1"/>
  <c r="BZ87" i="6"/>
  <c r="BZ88" i="6" s="1"/>
  <c r="BZ89" i="6" s="1"/>
  <c r="BZ90" i="6" s="1"/>
  <c r="BZ91" i="6" s="1"/>
  <c r="BZ92" i="6" s="1"/>
  <c r="BZ93" i="6" s="1"/>
  <c r="BZ94" i="6" s="1"/>
  <c r="BZ95" i="6" s="1"/>
  <c r="BZ96" i="6" s="1"/>
  <c r="BZ97" i="6" s="1"/>
  <c r="BZ98" i="6" s="1"/>
  <c r="BZ99" i="6" s="1"/>
  <c r="BZ100" i="6" s="1"/>
  <c r="BZ101" i="6" s="1"/>
  <c r="BZ102" i="6" s="1"/>
  <c r="BZ103" i="6" s="1"/>
  <c r="BZ104" i="6" s="1"/>
  <c r="BZ105" i="6" s="1"/>
  <c r="BZ106" i="6" s="1"/>
  <c r="BZ107" i="6" s="1"/>
  <c r="BZ108" i="6" s="1"/>
  <c r="BZ109" i="6" s="1"/>
  <c r="BZ110" i="6" s="1"/>
  <c r="BZ111" i="6" s="1"/>
  <c r="BZ112" i="6" s="1"/>
  <c r="BZ113" i="6" s="1"/>
  <c r="BZ114" i="6" s="1"/>
  <c r="BZ115" i="6" s="1"/>
  <c r="BZ116" i="6" s="1"/>
  <c r="BZ117" i="6" s="1"/>
  <c r="BZ118" i="6" s="1"/>
  <c r="BZ119" i="6" s="1"/>
  <c r="BZ120" i="6" s="1"/>
  <c r="BZ121" i="6" s="1"/>
  <c r="BZ122" i="6" s="1"/>
  <c r="BZ123" i="6" s="1"/>
  <c r="BZ124" i="6" s="1"/>
  <c r="BZ125" i="6" s="1"/>
  <c r="BZ126" i="6" s="1"/>
  <c r="BZ127" i="6" s="1"/>
  <c r="BZ128" i="6" s="1"/>
  <c r="BZ129" i="6" s="1"/>
  <c r="BZ130" i="6" s="1"/>
  <c r="BZ131" i="6" s="1"/>
  <c r="BZ132" i="6" s="1"/>
  <c r="BZ133" i="6" s="1"/>
  <c r="BZ134" i="6" s="1"/>
  <c r="BZ135" i="6" s="1"/>
  <c r="BZ136" i="6" s="1"/>
  <c r="BZ137" i="6" s="1"/>
  <c r="Y21" i="6"/>
  <c r="Z10" i="6" l="1"/>
  <c r="X10" i="6"/>
  <c r="D30" i="6"/>
  <c r="E27" i="6" l="1"/>
  <c r="D32" i="6" s="1"/>
  <c r="D27" i="6"/>
  <c r="Y20" i="6"/>
  <c r="J45" i="6" l="1"/>
  <c r="J44" i="6"/>
  <c r="J43" i="6"/>
  <c r="C46" i="6"/>
  <c r="J47" i="6"/>
  <c r="I46" i="6"/>
  <c r="I48" i="6" s="1"/>
  <c r="H46" i="6"/>
  <c r="H48" i="6" s="1"/>
  <c r="G46" i="6"/>
  <c r="G50" i="6" s="1"/>
  <c r="F46" i="6"/>
  <c r="F50" i="6" s="1"/>
  <c r="E46" i="6"/>
  <c r="E50" i="6" s="1"/>
  <c r="D46" i="6"/>
  <c r="D50" i="6" s="1"/>
  <c r="C50" i="6" l="1"/>
  <c r="C48" i="6"/>
  <c r="I50" i="6"/>
  <c r="G48" i="6"/>
  <c r="E48" i="6"/>
  <c r="J46" i="6"/>
  <c r="H50" i="6"/>
  <c r="F48" i="6"/>
  <c r="D48" i="6"/>
  <c r="J50" i="6" l="1"/>
  <c r="J48" i="6"/>
  <c r="I52" i="6" l="1"/>
  <c r="AB21" i="6"/>
  <c r="Z21" i="6" s="1"/>
  <c r="AB20" i="6"/>
  <c r="Z20" i="6" s="1"/>
  <c r="Y22" i="6" l="1"/>
  <c r="Y23" i="6"/>
  <c r="Y24" i="6"/>
  <c r="Y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X27" i="6"/>
  <c r="Z26" i="6" l="1"/>
  <c r="AB23" i="6"/>
  <c r="Z23" i="6" s="1"/>
  <c r="AB24" i="6"/>
  <c r="Z24" i="6" s="1"/>
  <c r="AB22" i="6"/>
  <c r="Z22" i="6" s="1"/>
  <c r="AB26" i="6"/>
  <c r="H27" i="6" l="1"/>
  <c r="Y25" i="6"/>
  <c r="Z25" i="6" s="1"/>
  <c r="Y27" i="6" l="1"/>
  <c r="Z28" i="6" s="1"/>
  <c r="AB25" i="6"/>
  <c r="Z27" i="6" l="1"/>
  <c r="AB27" i="6"/>
  <c r="Z3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Pedder, Daniel</author>
    <author>Mo C</author>
    <author>Alex Bartram</author>
  </authors>
  <commentList>
    <comment ref="C10" authorId="0" shapeId="0" xr:uid="{58473798-1E46-4A0B-A400-DFC085A24CB8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Change to your name</t>
        </r>
      </text>
    </comment>
    <comment ref="R10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Please Change Week No.</t>
        </r>
      </text>
    </comment>
    <comment ref="G12" authorId="0" shapeId="0" xr:uid="{E66A6399-413C-4CD8-BCA3-77D4503D059B}">
      <text>
        <r>
          <rPr>
            <b/>
            <sz val="9"/>
            <color indexed="81"/>
            <rFont val="Tahoma"/>
            <family val="2"/>
          </rPr>
          <t>Pedder, Daniel:</t>
        </r>
        <r>
          <rPr>
            <sz val="9"/>
            <color indexed="81"/>
            <rFont val="Tahoma"/>
            <family val="2"/>
          </rPr>
          <t xml:space="preserve">
Exxon FAME</t>
        </r>
      </text>
    </comment>
    <comment ref="Y18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Times to be shown in Hrs:Min format only, for example 08:30 </t>
        </r>
      </text>
    </comment>
    <comment ref="Z30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IT:</t>
        </r>
        <r>
          <rPr>
            <sz val="9"/>
            <color indexed="81"/>
            <rFont val="Tahoma"/>
            <family val="2"/>
          </rPr>
          <t xml:space="preserve">
Only populate green boxes, specify hrs split 
between O/T &amp; OTC</t>
        </r>
      </text>
    </comment>
  </commentList>
</comments>
</file>

<file path=xl/sharedStrings.xml><?xml version="1.0" encoding="utf-8"?>
<sst xmlns="http://schemas.openxmlformats.org/spreadsheetml/2006/main" count="4727" uniqueCount="2177">
  <si>
    <t>Instructions:</t>
  </si>
  <si>
    <t>Note:</t>
  </si>
  <si>
    <t>Booking Codes have changed. Please Review.</t>
  </si>
  <si>
    <t>SELLA CONTROLS Time Sheet</t>
  </si>
  <si>
    <t>Logged on as:</t>
  </si>
  <si>
    <t xml:space="preserve"> Name:</t>
  </si>
  <si>
    <t xml:space="preserve"> Dept:</t>
  </si>
  <si>
    <t xml:space="preserve"> Emp No</t>
  </si>
  <si>
    <t xml:space="preserve"> Wk Commencing</t>
  </si>
  <si>
    <t>Period No:</t>
  </si>
  <si>
    <t>Location</t>
  </si>
  <si>
    <t>Duty / Standby Service Cover</t>
  </si>
  <si>
    <t>Out of hours Telephone Calls</t>
  </si>
  <si>
    <t>IH</t>
  </si>
  <si>
    <t>Holiday</t>
  </si>
  <si>
    <t>OTC</t>
  </si>
  <si>
    <t>F&amp;A (Admin)</t>
  </si>
  <si>
    <t>Location Codes 
are as follows:</t>
  </si>
  <si>
    <r>
      <rPr>
        <b/>
        <sz val="12"/>
        <rFont val="Calibri"/>
        <family val="2"/>
        <scheme val="minor"/>
      </rPr>
      <t>Job Number</t>
    </r>
    <r>
      <rPr>
        <sz val="12"/>
        <rFont val="Calibri"/>
        <family val="2"/>
        <scheme val="minor"/>
      </rPr>
      <t xml:space="preserve">
Please Select 
From List</t>
    </r>
  </si>
  <si>
    <t xml:space="preserve"> </t>
  </si>
  <si>
    <t>Nights Service 
Cover</t>
  </si>
  <si>
    <t>Total</t>
  </si>
  <si>
    <t>Hours</t>
  </si>
  <si>
    <t>Total Hrs</t>
  </si>
  <si>
    <t>O/T Hrs</t>
  </si>
  <si>
    <t>Hours/day</t>
  </si>
  <si>
    <t>Calc/ field</t>
  </si>
  <si>
    <t>Type</t>
  </si>
  <si>
    <t>Hrs</t>
  </si>
  <si>
    <t>Auto</t>
  </si>
  <si>
    <t>Monday</t>
  </si>
  <si>
    <t>Standard</t>
  </si>
  <si>
    <t>Tuesday</t>
  </si>
  <si>
    <t>Wednesday</t>
  </si>
  <si>
    <t>Thursday</t>
  </si>
  <si>
    <t>Friday</t>
  </si>
  <si>
    <t>Saturday</t>
  </si>
  <si>
    <t>Sunday</t>
  </si>
  <si>
    <t>Employee
Signature</t>
  </si>
  <si>
    <t>Approved
Line Manager</t>
  </si>
  <si>
    <t>Num hours</t>
  </si>
  <si>
    <t>Split any Over Time 
between Paid Over Time 
and OTC
 (Hrs:Min format)</t>
  </si>
  <si>
    <t>Paid O/T Hrs</t>
  </si>
  <si>
    <t>Num tel calls</t>
  </si>
  <si>
    <t>OTC Hrs</t>
  </si>
  <si>
    <t>Total value</t>
  </si>
  <si>
    <t>O/T Total</t>
  </si>
  <si>
    <t>Enter times below as hours:minutes (e.g.) 16:50 for ten to five.</t>
  </si>
  <si>
    <t>Mon</t>
  </si>
  <si>
    <t>Tue</t>
  </si>
  <si>
    <t>Wed</t>
  </si>
  <si>
    <t>Thu</t>
  </si>
  <si>
    <t>Fri</t>
  </si>
  <si>
    <t>Sat</t>
  </si>
  <si>
    <t>Sun</t>
  </si>
  <si>
    <t>Start</t>
  </si>
  <si>
    <t>Finish</t>
  </si>
  <si>
    <t>Lunch</t>
  </si>
  <si>
    <t>Extra</t>
  </si>
  <si>
    <t>Less</t>
  </si>
  <si>
    <t>Total Exc Lunch</t>
  </si>
  <si>
    <t>Day Hrs</t>
  </si>
  <si>
    <r>
      <t xml:space="preserve"> +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</si>
  <si>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Hrs : Mins</t>
  </si>
  <si>
    <r>
      <t xml:space="preserve"> -</t>
    </r>
    <r>
      <rPr>
        <b/>
        <sz val="10"/>
        <color rgb="FF002060"/>
        <rFont val="Calibri"/>
        <family val="2"/>
        <scheme val="minor"/>
      </rPr>
      <t xml:space="preserve"> </t>
    </r>
    <r>
      <rPr>
        <b/>
        <sz val="11"/>
        <color rgb="FF002060"/>
        <rFont val="Calibri"/>
        <family val="2"/>
        <scheme val="minor"/>
      </rPr>
      <t>Difference</t>
    </r>
  </si>
  <si>
    <t>O/Time  Hours</t>
  </si>
  <si>
    <t>24hr conversion issue</t>
  </si>
  <si>
    <t>W/C</t>
  </si>
  <si>
    <t>Wk No</t>
  </si>
  <si>
    <t>Pd</t>
  </si>
  <si>
    <t>NetName</t>
  </si>
  <si>
    <t>FullName</t>
  </si>
  <si>
    <t>EmpNo</t>
  </si>
  <si>
    <t>ContractHrs</t>
  </si>
  <si>
    <t>Department</t>
  </si>
  <si>
    <t>Description</t>
  </si>
  <si>
    <t>OrderDate</t>
  </si>
  <si>
    <t>OrderType</t>
  </si>
  <si>
    <t>Customer</t>
  </si>
  <si>
    <t>JobNo</t>
  </si>
  <si>
    <t>dhind</t>
  </si>
  <si>
    <t>Debbie Hind</t>
  </si>
  <si>
    <t>24:00:00</t>
  </si>
  <si>
    <t>Company-Wide SG&amp;A</t>
  </si>
  <si>
    <t>Mobile Solutions</t>
  </si>
  <si>
    <t>Sella Controls Limited (Internal Jobs Only) (was :Internal SELLA CONTROLS Job)   Sterling</t>
  </si>
  <si>
    <t>UK</t>
  </si>
  <si>
    <t>swinter</t>
  </si>
  <si>
    <t>Suzanne Winterbone</t>
  </si>
  <si>
    <t>28:00:00</t>
  </si>
  <si>
    <t>ROW</t>
  </si>
  <si>
    <t>dwynne</t>
  </si>
  <si>
    <t>Daniel Wynne</t>
  </si>
  <si>
    <t>37:30:00</t>
  </si>
  <si>
    <t>Technical Support</t>
  </si>
  <si>
    <t>Contract</t>
  </si>
  <si>
    <t>OS</t>
  </si>
  <si>
    <t>jbanner</t>
  </si>
  <si>
    <t>James Banner</t>
  </si>
  <si>
    <t>Johnson Matthey Process Technologies</t>
  </si>
  <si>
    <t>jmorrison</t>
  </si>
  <si>
    <t>Jessica Morrison</t>
  </si>
  <si>
    <t>16:00:00</t>
  </si>
  <si>
    <t>Bank Holiday</t>
  </si>
  <si>
    <t>kstubbings</t>
  </si>
  <si>
    <t>Kieran Stubbings</t>
  </si>
  <si>
    <t>Sickness</t>
  </si>
  <si>
    <t>Dow Silicones UK Ltd</t>
  </si>
  <si>
    <t>abartram</t>
  </si>
  <si>
    <t>Alexander Bartram</t>
  </si>
  <si>
    <t>Authorised Absence</t>
  </si>
  <si>
    <t>ajones</t>
  </si>
  <si>
    <t>Anthony Jones</t>
  </si>
  <si>
    <t>Offshore Leave</t>
  </si>
  <si>
    <t>Process Safety</t>
  </si>
  <si>
    <t>px Teesside Gas &amp; Liquids</t>
  </si>
  <si>
    <t>Xmas</t>
  </si>
  <si>
    <t>cwilliam</t>
  </si>
  <si>
    <t>Chris Williams</t>
  </si>
  <si>
    <t>Process Safety Common Services</t>
  </si>
  <si>
    <t>Night Shift Rest</t>
  </si>
  <si>
    <t>Optional - Planar 4 Training of px TGPP Staff</t>
  </si>
  <si>
    <t>C10433005V</t>
  </si>
  <si>
    <t>wbooth</t>
  </si>
  <si>
    <t>Wendy Booth</t>
  </si>
  <si>
    <t>Rail Support Services</t>
  </si>
  <si>
    <t>dbanner</t>
  </si>
  <si>
    <t>Daniel Banner</t>
  </si>
  <si>
    <t>Croda Europe Limited</t>
  </si>
  <si>
    <t>tpmarsden</t>
  </si>
  <si>
    <t>Tim Marsden</t>
  </si>
  <si>
    <t>Process Safety Engineering</t>
  </si>
  <si>
    <t>Govia Thameslink Railway Limited</t>
  </si>
  <si>
    <t>nbrown</t>
  </si>
  <si>
    <t>Nick Brown</t>
  </si>
  <si>
    <t>Controls</t>
  </si>
  <si>
    <t>smhibbert</t>
  </si>
  <si>
    <t>Steven Hibbert</t>
  </si>
  <si>
    <t>smale</t>
  </si>
  <si>
    <t>Sam Male</t>
  </si>
  <si>
    <t>pdobb</t>
  </si>
  <si>
    <t>Peter Dobb</t>
  </si>
  <si>
    <t>CNOOC Petroleum Europe Ltd was Nexen Petroleum UK Ltd</t>
  </si>
  <si>
    <t>sashton</t>
  </si>
  <si>
    <t>Steve Ashton</t>
  </si>
  <si>
    <t>rbrown</t>
  </si>
  <si>
    <t>Richard Brown</t>
  </si>
  <si>
    <t>efazuan</t>
  </si>
  <si>
    <t>Engku Fazuan</t>
  </si>
  <si>
    <t>awhite</t>
  </si>
  <si>
    <t>Alan White</t>
  </si>
  <si>
    <t>mwhittaker</t>
  </si>
  <si>
    <t>Mathew Whittaker</t>
  </si>
  <si>
    <t>SABIC (UK) Petrochemicals Ltd</t>
  </si>
  <si>
    <t>gbehan</t>
  </si>
  <si>
    <t>Gary Behan</t>
  </si>
  <si>
    <t>Tata Steel UK Ltd - Port Talbot (was Corus)</t>
  </si>
  <si>
    <t>unwannadi</t>
  </si>
  <si>
    <t>Ugochukwu Nwannadi</t>
  </si>
  <si>
    <t>Perenco UK Ltd (Wytch Farm)</t>
  </si>
  <si>
    <t>gphillips</t>
  </si>
  <si>
    <t>Gary Phillips</t>
  </si>
  <si>
    <t>spretlov</t>
  </si>
  <si>
    <t>Sean Pretlove</t>
  </si>
  <si>
    <t>idolan</t>
  </si>
  <si>
    <t>Ian Dolan</t>
  </si>
  <si>
    <t xml:space="preserve">Safety &amp; Security Assurance </t>
  </si>
  <si>
    <t>abutler</t>
  </si>
  <si>
    <t>Anne Butler</t>
  </si>
  <si>
    <t>27:00:00</t>
  </si>
  <si>
    <t>CF Fertilisers UK Ltd (Billingham - Teesside)</t>
  </si>
  <si>
    <t>emoore</t>
  </si>
  <si>
    <t>Eddie Moore</t>
  </si>
  <si>
    <t>Huntsman Polyurethanes</t>
  </si>
  <si>
    <t>ctoft</t>
  </si>
  <si>
    <t>Carl Toft</t>
  </si>
  <si>
    <t>adutton</t>
  </si>
  <si>
    <t>Adrian Dutton</t>
  </si>
  <si>
    <t>mhaslam</t>
  </si>
  <si>
    <t>Mark Haslam</t>
  </si>
  <si>
    <t>INOVYN ChlorVinyls Ltd (Runcorn)          Sat Nav WA7 4HZ</t>
  </si>
  <si>
    <t>jpartington</t>
  </si>
  <si>
    <t>Jack Partington</t>
  </si>
  <si>
    <t>dpedder</t>
  </si>
  <si>
    <t>Daniel Pedder</t>
  </si>
  <si>
    <t>sdarvish</t>
  </si>
  <si>
    <t>Saaber Darvish</t>
  </si>
  <si>
    <t>Gassco LRF</t>
  </si>
  <si>
    <t>alawson</t>
  </si>
  <si>
    <t>Alan Lawson</t>
  </si>
  <si>
    <t>DSM Nutritional Products (UK) Limited (Sterling Account only)</t>
  </si>
  <si>
    <t>pbehan</t>
  </si>
  <si>
    <t>Peter Behan</t>
  </si>
  <si>
    <t>30:00:00</t>
  </si>
  <si>
    <t>Production</t>
  </si>
  <si>
    <t>INEOS Infrastructure (Grangemouth) Ltd</t>
  </si>
  <si>
    <t>pshaw</t>
  </si>
  <si>
    <t>Paul Shaw</t>
  </si>
  <si>
    <t>cgoodwin</t>
  </si>
  <si>
    <t>Chris Goodwin</t>
  </si>
  <si>
    <t>Vale Europe Limited</t>
  </si>
  <si>
    <t>sbrown</t>
  </si>
  <si>
    <t>Steve Brown</t>
  </si>
  <si>
    <t>dbrown</t>
  </si>
  <si>
    <t>Dave Brown</t>
  </si>
  <si>
    <t>ExxonMobil ESSO Petroleum Company Ltd .Fawley refinery/southampton</t>
  </si>
  <si>
    <t>jacksmith</t>
  </si>
  <si>
    <t>Jack Smith</t>
  </si>
  <si>
    <t>dmalkin</t>
  </si>
  <si>
    <t>Derek Malkin</t>
  </si>
  <si>
    <t>scroucher</t>
  </si>
  <si>
    <t>Stephen Croucher</t>
  </si>
  <si>
    <t>rbracegirdle</t>
  </si>
  <si>
    <t>Ross Bracegirdle</t>
  </si>
  <si>
    <t>aashworth</t>
  </si>
  <si>
    <t>Alan Ashworth</t>
  </si>
  <si>
    <t>sburke</t>
  </si>
  <si>
    <t>Stephen Burke</t>
  </si>
  <si>
    <t>nreedy</t>
  </si>
  <si>
    <t>Neil Reedy</t>
  </si>
  <si>
    <t>Rail Systems commom Services</t>
  </si>
  <si>
    <t>Mitsubishi Chemical UK</t>
  </si>
  <si>
    <t>pfreer</t>
  </si>
  <si>
    <t>Paul Freer</t>
  </si>
  <si>
    <t>ldavidson</t>
  </si>
  <si>
    <t>Lucy Davidson</t>
  </si>
  <si>
    <t>mlau</t>
  </si>
  <si>
    <t>Mel Lei Lau</t>
  </si>
  <si>
    <t>12:00:00</t>
  </si>
  <si>
    <t>jknight</t>
  </si>
  <si>
    <t>James Knight</t>
  </si>
  <si>
    <t>msanchez</t>
  </si>
  <si>
    <t>Manuel Sanchez</t>
  </si>
  <si>
    <t>btaylor</t>
  </si>
  <si>
    <t>Bruce Taylor</t>
  </si>
  <si>
    <t>Associated Site Works</t>
  </si>
  <si>
    <t>aketley</t>
  </si>
  <si>
    <t>Antony Ketley</t>
  </si>
  <si>
    <t>jsephton</t>
  </si>
  <si>
    <t>John Sephton</t>
  </si>
  <si>
    <t>URENCO ChemPlants Limited</t>
  </si>
  <si>
    <t>kgallagher</t>
  </si>
  <si>
    <t>Kevin Gallagher</t>
  </si>
  <si>
    <t>System &amp; Obsolescence - PSU Upgrade - C13944H</t>
  </si>
  <si>
    <t>C13944020V</t>
  </si>
  <si>
    <t>phodgson</t>
  </si>
  <si>
    <t>Paul Hodgson</t>
  </si>
  <si>
    <t>Petrofac Facilities Management (Aberdeen)</t>
  </si>
  <si>
    <t>taitken</t>
  </si>
  <si>
    <t>Tony Aitken</t>
  </si>
  <si>
    <t>peter.shaw</t>
  </si>
  <si>
    <t>Peter Shaw</t>
  </si>
  <si>
    <t>Solenis UK Industries Ltd was BASF plc</t>
  </si>
  <si>
    <t>rverity</t>
  </si>
  <si>
    <t>Richard Verity</t>
  </si>
  <si>
    <t>dhall</t>
  </si>
  <si>
    <t>Daniel Hall</t>
  </si>
  <si>
    <t>jgreen</t>
  </si>
  <si>
    <t>Jacob Green</t>
  </si>
  <si>
    <t>cemsen</t>
  </si>
  <si>
    <t>Chris Emsen</t>
  </si>
  <si>
    <t>JOB CREATED IN ERROR</t>
  </si>
  <si>
    <t>F T Refrigeration</t>
  </si>
  <si>
    <t>C14359001G</t>
  </si>
  <si>
    <t>swatson</t>
  </si>
  <si>
    <t>Simon Watson</t>
  </si>
  <si>
    <t>SCADA</t>
  </si>
  <si>
    <t>Network Rail</t>
  </si>
  <si>
    <t>jsampat</t>
  </si>
  <si>
    <t>Jay Sampat</t>
  </si>
  <si>
    <t>glewis</t>
  </si>
  <si>
    <t>Gregory Lewis</t>
  </si>
  <si>
    <t>Tracklink III for TPE - Class 397 EMU's (12 x 5 Car).</t>
  </si>
  <si>
    <t>CAF</t>
  </si>
  <si>
    <t>C14666001M</t>
  </si>
  <si>
    <t>jwells</t>
  </si>
  <si>
    <t>Joe Wells</t>
  </si>
  <si>
    <t>Tracklink III Readers for CAF MK5 Coaches, TPE</t>
  </si>
  <si>
    <t>hbenrezzouk</t>
  </si>
  <si>
    <t>Hamzah Benrezzouk</t>
  </si>
  <si>
    <t>C14666003M</t>
  </si>
  <si>
    <t>jlamb</t>
  </si>
  <si>
    <t>Jacob Lamb</t>
  </si>
  <si>
    <t>Tracklink III DMUs, Northern Rail - Class 195 (25 x 2 car &amp; 30 x 3 car)_x000D_
See also job no. C14666R.  2 out of 55 items required delivered under that job no.</t>
  </si>
  <si>
    <t>C14666004M</t>
  </si>
  <si>
    <t>smullaji</t>
  </si>
  <si>
    <t>Sufyaan Mullaji</t>
  </si>
  <si>
    <t>Tracklink III for EMUs, Northern Rail - Class 331 (31 x 3 car &amp; 12 x 4 car)_x000D_
See also job no. C14666R.  1 out of 43  items required delivered under that job no.</t>
  </si>
  <si>
    <t>C14666005M</t>
  </si>
  <si>
    <t>amartin</t>
  </si>
  <si>
    <t>Adrian Martin</t>
  </si>
  <si>
    <t>SISS</t>
  </si>
  <si>
    <t>Tracklink III Reader (internal antenna) with standard mounting bracket. RS485 and Relays. 24 V DC Operating Voltage, Part No: HSD2300/025A24VDC</t>
  </si>
  <si>
    <t>CAF Rolling Stock UK Limited</t>
  </si>
  <si>
    <t>C14666012M</t>
  </si>
  <si>
    <t>mwatson</t>
  </si>
  <si>
    <t>Matthew Watson</t>
  </si>
  <si>
    <t>sgreaves</t>
  </si>
  <si>
    <t>Stephanie Greaves</t>
  </si>
  <si>
    <t>Tracklink III for EMUs &amp; DMUs, Northern Rail - Class 331 (31 x 3 car &amp; 12 x 4 car) and Class 195 (25 x 2 car &amp; 30 x 3 car)</t>
  </si>
  <si>
    <t>C14666M</t>
  </si>
  <si>
    <t>jdaykin</t>
  </si>
  <si>
    <t>Jack Daykin</t>
  </si>
  <si>
    <t>rkaydea</t>
  </si>
  <si>
    <t>Robert Kaydea</t>
  </si>
  <si>
    <t>Rail Support Group</t>
  </si>
  <si>
    <t>roliver</t>
  </si>
  <si>
    <t>Richard Oliver</t>
  </si>
  <si>
    <t>dhockin</t>
  </si>
  <si>
    <t>Daniel Hockin</t>
  </si>
  <si>
    <t>apearce</t>
  </si>
  <si>
    <t>Adrian Pearce</t>
  </si>
  <si>
    <t>Tracklink Production</t>
  </si>
  <si>
    <t>dwoodhead</t>
  </si>
  <si>
    <t>Dave Woodhead</t>
  </si>
  <si>
    <t>London Underground Ltd</t>
  </si>
  <si>
    <t>imccorma</t>
  </si>
  <si>
    <t>Ian McCormack</t>
  </si>
  <si>
    <t>ayard</t>
  </si>
  <si>
    <t>Andrew Yard</t>
  </si>
  <si>
    <t>Depot &amp; Signal Control</t>
  </si>
  <si>
    <t>PetroIneos Manufacturing Scotland Ltd</t>
  </si>
  <si>
    <t>rwright</t>
  </si>
  <si>
    <t>Robin Wright</t>
  </si>
  <si>
    <t>nlines</t>
  </si>
  <si>
    <t>Nicolle Lines</t>
  </si>
  <si>
    <t>akirk</t>
  </si>
  <si>
    <t>Archie Kirk</t>
  </si>
  <si>
    <t>Northern Trains Limited</t>
  </si>
  <si>
    <t>EKE Electronics Ltd</t>
  </si>
  <si>
    <t>Siemens Rail Systems</t>
  </si>
  <si>
    <t>CP6 - B5 Contract Completion</t>
  </si>
  <si>
    <t>McNicholas Construction Services Ltd</t>
  </si>
  <si>
    <t>C14865001D</t>
  </si>
  <si>
    <t>Lowery Ltd</t>
  </si>
  <si>
    <t>Assurance</t>
  </si>
  <si>
    <t>Functional Safety Assessment</t>
  </si>
  <si>
    <t>C14882F</t>
  </si>
  <si>
    <t>C14883F</t>
  </si>
  <si>
    <t>CAF Rail UK Ltd</t>
  </si>
  <si>
    <t>Liverpool Street CCTV - CCS Modpack</t>
  </si>
  <si>
    <t>Telent Technology Services Limited</t>
  </si>
  <si>
    <t>C14908D</t>
  </si>
  <si>
    <t>Reverse Engineering of existing Utilities Unit 2 Planar F System (SC Ref: C4118)</t>
  </si>
  <si>
    <t>HIMA Germany</t>
  </si>
  <si>
    <t>C14932H</t>
  </si>
  <si>
    <t>ConocoPhillips (UK) Teesside Operator Ltd</t>
  </si>
  <si>
    <t>Abellio East Anglia Ltd</t>
  </si>
  <si>
    <t>ABB Ltd</t>
  </si>
  <si>
    <t>Great Western Railway</t>
  </si>
  <si>
    <t>ASDO for Merseyrail, Class 777 EMUs</t>
  </si>
  <si>
    <t>Stadler Rheintal AG - was Stadler Altenrhein AG</t>
  </si>
  <si>
    <t>C14985001M</t>
  </si>
  <si>
    <t>Stadler Rail Services UK Ltd</t>
  </si>
  <si>
    <t>ASDO for Merseyrail, Class 777 EMUs - Engineering</t>
  </si>
  <si>
    <t>C14985M</t>
  </si>
  <si>
    <t>Training associated with _x000D_
Train 1/Train 2 ESD Planar F System Upgrade</t>
  </si>
  <si>
    <t>C14992002V</t>
  </si>
  <si>
    <t>Training Course - SILworX - Train 2 - C14992H_x000D_
See also C14992004V</t>
  </si>
  <si>
    <t>C14992005V</t>
  </si>
  <si>
    <t>Engineering Support Group Ltd</t>
  </si>
  <si>
    <t>Tracklink P2P - Vested Stock</t>
  </si>
  <si>
    <t>C15012M</t>
  </si>
  <si>
    <t>Keolis Amey Docklands Light Rail</t>
  </si>
  <si>
    <t>Tracklink III for Class 730 West Midland - 36 x 3 car trains and 45 x 5 car trains</t>
  </si>
  <si>
    <t>C15053M</t>
  </si>
  <si>
    <t>Stadler Rail Valencia</t>
  </si>
  <si>
    <t>Tracklink III for Civity DMUs for Wales &amp; Borders. 51 x 2 car and 26 x 3 car.</t>
  </si>
  <si>
    <t>C15071M</t>
  </si>
  <si>
    <t>Box Encapsulation Plant Joint Venture</t>
  </si>
  <si>
    <t>C15099G</t>
  </si>
  <si>
    <t>3 x C50 Replacement RTU (Substations)</t>
  </si>
  <si>
    <t>C15129D</t>
  </si>
  <si>
    <t>Mott MacDonald Group</t>
  </si>
  <si>
    <t>Stage 3 Functional Safety Assessments</t>
  </si>
  <si>
    <t>C15148002F</t>
  </si>
  <si>
    <t>Beckton Depot Upgrade - WP2 Implementation_x000D_
See also associated Job No. C15154R</t>
  </si>
  <si>
    <t>UK PNS</t>
  </si>
  <si>
    <t>C15154001D</t>
  </si>
  <si>
    <t>Beckton Depot Upgrade - WP1 Implementation</t>
  </si>
  <si>
    <t>C15154002D</t>
  </si>
  <si>
    <t>Stadler Bussnang AG</t>
  </si>
  <si>
    <t>ASDO system for Wales &amp; Borders Flirt Trains_x000D_
Project No. L-4440 NRCs</t>
  </si>
  <si>
    <t>C15173M</t>
  </si>
  <si>
    <t>ASDO &amp; CSDE system for Wales &amp; Borders, 36 x 3 car Citylink Bi-ModeTrains_x000D_
See also related Job No. C15195R</t>
  </si>
  <si>
    <t>C15195002M</t>
  </si>
  <si>
    <t>ASDO &amp; CSDE system for Wales &amp; Borders, 36 x 3 car Citylink Bi-ModeTrains_x000D_
See also related Job No. C15195002R</t>
  </si>
  <si>
    <t>C15195M</t>
  </si>
  <si>
    <t>BAM Nuttall Limited</t>
  </si>
  <si>
    <t>Local Control Panels, Relay Panels, Trapped Key interlock, Instrument Transducer Cabinets (Miscellaneous CE&amp;I panels), Communications (Data / Telephone), Hydrogen Analyser &amp; Oxygen Depletion Monitors</t>
  </si>
  <si>
    <t>C15217G</t>
  </si>
  <si>
    <t>Rail Power Solutions Limited</t>
  </si>
  <si>
    <t>Level Crossing Control for Magdalen Road Level Crossing, Watlington Station</t>
  </si>
  <si>
    <t>Amey Rail Limited</t>
  </si>
  <si>
    <t>C15235X</t>
  </si>
  <si>
    <t>Newbury SISS</t>
  </si>
  <si>
    <t>C15241S</t>
  </si>
  <si>
    <t>EKE Electronics Ltd (Sterling only)</t>
  </si>
  <si>
    <t>C15267D</t>
  </si>
  <si>
    <t>ICSS for Calor at Canvey Island</t>
  </si>
  <si>
    <t>Honeywell Process Solutions - Incorporating Elster Metering Limited</t>
  </si>
  <si>
    <t>C15277H</t>
  </si>
  <si>
    <t>LC Switchgear Limited</t>
  </si>
  <si>
    <t>TVS Supply Chain Solutions Ltd</t>
  </si>
  <si>
    <t>C15286X</t>
  </si>
  <si>
    <t>Navitas Engineering Limited</t>
  </si>
  <si>
    <t>DLR RMU Design Works</t>
  </si>
  <si>
    <t>C15300D</t>
  </si>
  <si>
    <t>Asset Monitoring System Equipment Panels &amp; Associated Operator Stations - System 854</t>
  </si>
  <si>
    <t>Bechtel Cavendish Nuclear Solutions (BCNS)</t>
  </si>
  <si>
    <t>C15309G</t>
  </si>
  <si>
    <t>GRIP4 AfA Design - Todmorden. Broad Green, Chorley</t>
  </si>
  <si>
    <t>Vextrix Management Ltd</t>
  </si>
  <si>
    <t>C15317S</t>
  </si>
  <si>
    <t>National Grid Grain LNG</t>
  </si>
  <si>
    <t>Woodgate &amp; Yapton Substation - NSCD Interface Panels</t>
  </si>
  <si>
    <t>C15330D</t>
  </si>
  <si>
    <t>Custom House &amp; Beckton DC Subs BCM</t>
  </si>
  <si>
    <t>C15335D</t>
  </si>
  <si>
    <t>Tracklink III and Controller for Tetra - GSM-R changeover, Tyne &amp; Wear Metro, Project L-4491</t>
  </si>
  <si>
    <t>C15338001M</t>
  </si>
  <si>
    <t>Tracklink III and GPS Controller for Tetra - GSM-R changeover, Tyne &amp; Wear Metro, Project L-4491</t>
  </si>
  <si>
    <t>C15338M</t>
  </si>
  <si>
    <t>RMS &amp; BCS Substation SCADA - Contract Award</t>
  </si>
  <si>
    <t>C15343D</t>
  </si>
  <si>
    <t>Provision of IESS Solution (Contract Award)</t>
  </si>
  <si>
    <t>Iarnrod Eireann - Irish Rail</t>
  </si>
  <si>
    <t>C15361D</t>
  </si>
  <si>
    <t>Rail Systems Common Services</t>
  </si>
  <si>
    <t>Sales/Quotation Works- Automation</t>
  </si>
  <si>
    <t>Internal</t>
  </si>
  <si>
    <t>I1003Z</t>
  </si>
  <si>
    <t>Sales Quotation Work - Defence</t>
  </si>
  <si>
    <t>I1004F</t>
  </si>
  <si>
    <t>Sales/Quotation Work - Service</t>
  </si>
  <si>
    <t>I1005V</t>
  </si>
  <si>
    <t>Sales/Quotation Works- Production</t>
  </si>
  <si>
    <t>I1006P</t>
  </si>
  <si>
    <t>Internal Admin</t>
  </si>
  <si>
    <t>HS Internal Folder for asset sales and internal recharges only. Fleet car sales etc</t>
  </si>
  <si>
    <t>I10361010A</t>
  </si>
  <si>
    <t>HS Internal Folder for asset sales and  recharges only.</t>
  </si>
  <si>
    <t>Sella Controls Limited (Internal Jobs Only)  (Euro Account)</t>
  </si>
  <si>
    <t>I10361013A</t>
  </si>
  <si>
    <t>Engineering Management folder - Register for training documents, and HSBooks Help</t>
  </si>
  <si>
    <t>I11218001A</t>
  </si>
  <si>
    <t>Internal Quality folder for NCR (Non Compliance) tracking</t>
  </si>
  <si>
    <t>I11218002A</t>
  </si>
  <si>
    <t>Internal folder for CFB (Customer Feedback) tracking</t>
  </si>
  <si>
    <t>I11218003A</t>
  </si>
  <si>
    <t>Hs Books User Group</t>
  </si>
  <si>
    <t>I11218004A</t>
  </si>
  <si>
    <t>Sales Folder</t>
  </si>
  <si>
    <t>I11218006A</t>
  </si>
  <si>
    <t>FSMT Folder</t>
  </si>
  <si>
    <t>I11218007A</t>
  </si>
  <si>
    <t>QA Competency Forms</t>
  </si>
  <si>
    <t>I11218008A</t>
  </si>
  <si>
    <t>Cyber Security</t>
  </si>
  <si>
    <t>I11218009A</t>
  </si>
  <si>
    <t>IMPROVEMENTS</t>
  </si>
  <si>
    <t>I11218010A</t>
  </si>
  <si>
    <t>SIS Technology Working Group</t>
  </si>
  <si>
    <t>I11218011A</t>
  </si>
  <si>
    <t>SIS Innovation Working Group</t>
  </si>
  <si>
    <t>I11218012A</t>
  </si>
  <si>
    <t>SIS OEM Training</t>
  </si>
  <si>
    <t>I11218013A</t>
  </si>
  <si>
    <t>SIS Data Tool R &amp; D</t>
  </si>
  <si>
    <t>I11218014A</t>
  </si>
  <si>
    <t>Employees Forum actions</t>
  </si>
  <si>
    <t>I11218015A</t>
  </si>
  <si>
    <t>ISO 27001 Certification</t>
  </si>
  <si>
    <t>I11218016A</t>
  </si>
  <si>
    <t>Replacement of Accounting System</t>
  </si>
  <si>
    <t>I11218017A</t>
  </si>
  <si>
    <t>Engineering Management folder</t>
  </si>
  <si>
    <t>I11218A</t>
  </si>
  <si>
    <t>Track Modifications to Software - DASS Upgrade - See related Job No. C13003009V</t>
  </si>
  <si>
    <t>I11468006V</t>
  </si>
  <si>
    <t>Internal Handover Documentation related to Perenco</t>
  </si>
  <si>
    <t>I11930083V</t>
  </si>
  <si>
    <t>Tel support. Non-Chg. -Safety</t>
  </si>
  <si>
    <t>I1201H</t>
  </si>
  <si>
    <t>Tel support. Non-Chg. - Automation</t>
  </si>
  <si>
    <t>I1203Z</t>
  </si>
  <si>
    <t>Tel support. Non-Chg. -Service</t>
  </si>
  <si>
    <t>I1205V</t>
  </si>
  <si>
    <t>Contract Admin - Safety</t>
  </si>
  <si>
    <t>I1301H</t>
  </si>
  <si>
    <t>Contract Admin - Automation</t>
  </si>
  <si>
    <t>I1303Z</t>
  </si>
  <si>
    <t>Contract Admin - Service</t>
  </si>
  <si>
    <t>I1305V</t>
  </si>
  <si>
    <t>Ashby Travel</t>
  </si>
  <si>
    <t>I13300Z</t>
  </si>
  <si>
    <t>Training System / Manual / Content creation and Training materials to allow delivery of full training courses to clients and internal engineers.</t>
  </si>
  <si>
    <t>I13732001V</t>
  </si>
  <si>
    <t>Testing and Development  -  HIQuadX</t>
  </si>
  <si>
    <t>I13732002V</t>
  </si>
  <si>
    <t>External Calibration</t>
  </si>
  <si>
    <t>I14025P</t>
  </si>
  <si>
    <t>Internal Calibration</t>
  </si>
  <si>
    <t>I14026P</t>
  </si>
  <si>
    <t>Safety Checks</t>
  </si>
  <si>
    <t>I14027P</t>
  </si>
  <si>
    <t>Obsolescence review project for all HIMA technologies</t>
  </si>
  <si>
    <t>I14306V</t>
  </si>
  <si>
    <t>Project Diode - Pic Version</t>
  </si>
  <si>
    <t>I14339001Z</t>
  </si>
  <si>
    <t>Software change to the P2P product</t>
  </si>
  <si>
    <t>I14339002Z</t>
  </si>
  <si>
    <t>Planar 4 Demo Unit required for SPE Offshore Europe 2015_x000D_
See draft quotes in Folder QAA022306</t>
  </si>
  <si>
    <t>I14478H</t>
  </si>
  <si>
    <t>Project Gauss for MT700 Protocol implementation for  Brighton (Southern Region)</t>
  </si>
  <si>
    <t>I14479001Z</t>
  </si>
  <si>
    <t>Project Hertz - DNP3 Protocol_x000D_
Development of the DNP3 protocol for use on the RTU product</t>
  </si>
  <si>
    <t>I14616Z</t>
  </si>
  <si>
    <t>Himatrix Level crossing work for Amey Rail</t>
  </si>
  <si>
    <t>I14668Z</t>
  </si>
  <si>
    <t>Feasibility Studies for Development _x000D_
To capture the activities leading to new development projects</t>
  </si>
  <si>
    <t>I14731Z</t>
  </si>
  <si>
    <t>Revalidation / Repair of TSG Hot spares / Obsolescence surveys.</t>
  </si>
  <si>
    <t>I14833V</t>
  </si>
  <si>
    <t>Manufacture and redesign of HSD power supply racks</t>
  </si>
  <si>
    <t>I14872P</t>
  </si>
  <si>
    <t>Project Joule - Feasibility Study for P2P Multi Drop_x000D_
Costs against Feasiblity study for multi-drop I/O system</t>
  </si>
  <si>
    <t>I14893001Z</t>
  </si>
  <si>
    <t>Project Joule -  software enhancements to the HSD15000_x000D_
Ongoing hardware &amp; software enhancements to the HSD15000 Tracklink point to point system</t>
  </si>
  <si>
    <t>I14893Z</t>
  </si>
  <si>
    <t>Project Kelvin - Developing / integrating the next generation reader module as a replacement for the M9 module in the Tracklink III.</t>
  </si>
  <si>
    <t>I14894Z</t>
  </si>
  <si>
    <t>Project Logic general  upgrades to the Tracklink III, (not inclusive of work on project Kelvin), such as I/O &amp; communications changes.  A working model name can be Tracklink X development</t>
  </si>
  <si>
    <t>I14895Z</t>
  </si>
  <si>
    <t>Project Micro_x000D_
Develop a detailed feasibility study regarding the next generation point to point system that will be a multi-drop application.  Studies may way well result in a new generation distributed I/O RTU, so a working title could be ‘detailed mult</t>
  </si>
  <si>
    <t>I14896Z</t>
  </si>
  <si>
    <t>Project Nano - Next Generation RTU Interface Boards_x000D_
To produce new variants of the RTU Interface Boards</t>
  </si>
  <si>
    <t>I14897Z</t>
  </si>
  <si>
    <t>Internal - On Call Charge Costs (Car Hire) TSG for Staff not on car scheme.</t>
  </si>
  <si>
    <t>I14914V</t>
  </si>
  <si>
    <t>Mitsubishi &amp; Gantner Datalogger R&amp;D for REL.</t>
  </si>
  <si>
    <t>I14979Z</t>
  </si>
  <si>
    <t>Sales/Quotation Works - Safety</t>
  </si>
  <si>
    <t>I1501H</t>
  </si>
  <si>
    <t>Cost Centre for I.T. related issues - All Departments</t>
  </si>
  <si>
    <t>I15162A</t>
  </si>
  <si>
    <t>Internal Training Course for TUV Certification</t>
  </si>
  <si>
    <t>I15258A</t>
  </si>
  <si>
    <t>Honeywell - Cross Departmental Information Transfer</t>
  </si>
  <si>
    <t>I15277001A</t>
  </si>
  <si>
    <t>HS Books Development</t>
  </si>
  <si>
    <t>I15287A</t>
  </si>
  <si>
    <t>Ohm - R&amp;D works in optimising Tracklink III Tag Frequency</t>
  </si>
  <si>
    <t>I15326Z</t>
  </si>
  <si>
    <t>Pico - R&amp;D creation of a deployment tool to deploy (easily) software onto previous and future EKE racks and also supply to customer (one button deployment approach)</t>
  </si>
  <si>
    <t>I15327Z</t>
  </si>
  <si>
    <t>Construction work to be carried out at Stockport premises</t>
  </si>
  <si>
    <t>I15353A</t>
  </si>
  <si>
    <t>Authorised Absence - Safety</t>
  </si>
  <si>
    <t>I1601H</t>
  </si>
  <si>
    <t>Authorised Absence - Automation</t>
  </si>
  <si>
    <t>I1603Z</t>
  </si>
  <si>
    <t>Authorised Absence - Service</t>
  </si>
  <si>
    <t>I1605V</t>
  </si>
  <si>
    <t>Authorised Absence - Production</t>
  </si>
  <si>
    <t>I1606P</t>
  </si>
  <si>
    <t>Late Job Costs - Safety</t>
  </si>
  <si>
    <t>I1701H</t>
  </si>
  <si>
    <t>Late Job Costs - Automation</t>
  </si>
  <si>
    <t>I1703Z</t>
  </si>
  <si>
    <t>Late Job Costs - Service</t>
  </si>
  <si>
    <t>I1705V</t>
  </si>
  <si>
    <t>Preliminary Order Work</t>
  </si>
  <si>
    <t>I1801H</t>
  </si>
  <si>
    <t>I1803Z</t>
  </si>
  <si>
    <t>I1805V</t>
  </si>
  <si>
    <t>Product Development &amp; Maintenance - Automation</t>
  </si>
  <si>
    <t>I1903Z</t>
  </si>
  <si>
    <t>Training - Ugochukwu Nwannadi</t>
  </si>
  <si>
    <t>I2001001H</t>
  </si>
  <si>
    <t>Training/Seminar Works - Safety</t>
  </si>
  <si>
    <t>I2001H</t>
  </si>
  <si>
    <t>Training/Seminar Works - Automation</t>
  </si>
  <si>
    <t>I2003Z</t>
  </si>
  <si>
    <t>Training/Seminar Works - Defence</t>
  </si>
  <si>
    <t>I2004F</t>
  </si>
  <si>
    <t>Training - Jack Partington</t>
  </si>
  <si>
    <t>I2005001V</t>
  </si>
  <si>
    <t>Training - Hugues Groshens</t>
  </si>
  <si>
    <t>I2005003V</t>
  </si>
  <si>
    <t>Training - Andrew Pepper</t>
  </si>
  <si>
    <t>I2005004V</t>
  </si>
  <si>
    <t>Training - Eddie Moore</t>
  </si>
  <si>
    <t>I2005005V</t>
  </si>
  <si>
    <t>Training - Adrian Dutton</t>
  </si>
  <si>
    <t>I2005006V</t>
  </si>
  <si>
    <t>Training - Mark Haslam</t>
  </si>
  <si>
    <t>I2005007V</t>
  </si>
  <si>
    <t>Training - Anne Butler</t>
  </si>
  <si>
    <t>I2005008V</t>
  </si>
  <si>
    <t>Training - Carl Toft</t>
  </si>
  <si>
    <t>I2005009V</t>
  </si>
  <si>
    <t>Training - Dan Pedder</t>
  </si>
  <si>
    <t>I2005010V</t>
  </si>
  <si>
    <t>Training - Mike Ireland</t>
  </si>
  <si>
    <t>I2005011V</t>
  </si>
  <si>
    <t>Training - Saaber Darvish</t>
  </si>
  <si>
    <t>I2005012V</t>
  </si>
  <si>
    <t>Training - Alan Lawson</t>
  </si>
  <si>
    <t>I2005013V</t>
  </si>
  <si>
    <t>Training / Seminars - Service</t>
  </si>
  <si>
    <t>I2005V</t>
  </si>
  <si>
    <t>Training/Seminar Works - Production</t>
  </si>
  <si>
    <t>I2006P</t>
  </si>
  <si>
    <t>Sellanet - Safety</t>
  </si>
  <si>
    <t>I3001H</t>
  </si>
  <si>
    <t>General Admin work - Safety</t>
  </si>
  <si>
    <t>I4001H</t>
  </si>
  <si>
    <t>General Admin work - Automation</t>
  </si>
  <si>
    <t>I4003Z</t>
  </si>
  <si>
    <t>General Admin work - Defence</t>
  </si>
  <si>
    <t>I4004F</t>
  </si>
  <si>
    <t>Baseline Security Clearance Application</t>
  </si>
  <si>
    <t>I4005001A</t>
  </si>
  <si>
    <t>Research &amp; Administration for Accommodation and Travel</t>
  </si>
  <si>
    <t>I4005002A</t>
  </si>
  <si>
    <t>Travel between Ashby/Stockport Offices</t>
  </si>
  <si>
    <t>I4005003V</t>
  </si>
  <si>
    <t>TSG Equipment/Asset Register</t>
  </si>
  <si>
    <t>I4005004V</t>
  </si>
  <si>
    <t>General Admin - Service</t>
  </si>
  <si>
    <t>I4005V</t>
  </si>
  <si>
    <t>General Admin work - Production</t>
  </si>
  <si>
    <t>I4006P</t>
  </si>
  <si>
    <t>Warranty work - Safety</t>
  </si>
  <si>
    <t>I5001H</t>
  </si>
  <si>
    <t>Warranty work - Automation</t>
  </si>
  <si>
    <t>I5003Z</t>
  </si>
  <si>
    <t>Warranty work - Service</t>
  </si>
  <si>
    <t>I5005V</t>
  </si>
  <si>
    <t>Warranty work - Production</t>
  </si>
  <si>
    <t>I5006P</t>
  </si>
  <si>
    <t>In-House Maintenance - Safety</t>
  </si>
  <si>
    <t>I6001H</t>
  </si>
  <si>
    <t>In-House Maintenance - Automation</t>
  </si>
  <si>
    <t>I6003Z</t>
  </si>
  <si>
    <t>In-House Maintenance - Defence</t>
  </si>
  <si>
    <t>I6004F</t>
  </si>
  <si>
    <t>In-House maintenance - Service</t>
  </si>
  <si>
    <t>I6005V</t>
  </si>
  <si>
    <t>In-House Maintenance - Production</t>
  </si>
  <si>
    <t>I6006P</t>
  </si>
  <si>
    <t>Annual Leave - Safety</t>
  </si>
  <si>
    <t>I7001H</t>
  </si>
  <si>
    <t>Annual Leave - Automation</t>
  </si>
  <si>
    <t>I7003Z</t>
  </si>
  <si>
    <t>Annual Leave - Defence</t>
  </si>
  <si>
    <t>I7004F</t>
  </si>
  <si>
    <t>Annual Leave. Service</t>
  </si>
  <si>
    <t>I7005V</t>
  </si>
  <si>
    <t>Annual Leave - Production</t>
  </si>
  <si>
    <t>I7006P</t>
  </si>
  <si>
    <t>Sick Leave - Safety</t>
  </si>
  <si>
    <t>I8001H</t>
  </si>
  <si>
    <t>Sick Leave - Automation</t>
  </si>
  <si>
    <t>I8003Z</t>
  </si>
  <si>
    <t>Sick Leave - Defence</t>
  </si>
  <si>
    <t>I8004F</t>
  </si>
  <si>
    <t>Sick leave - Service</t>
  </si>
  <si>
    <t>I8005V</t>
  </si>
  <si>
    <t>Sick Leave - Production</t>
  </si>
  <si>
    <t>I8006P</t>
  </si>
  <si>
    <t>Bank Holidays - Safety</t>
  </si>
  <si>
    <t>I9001H</t>
  </si>
  <si>
    <t>Bank Holidays - Automation</t>
  </si>
  <si>
    <t>I9003Z</t>
  </si>
  <si>
    <t>Bank Holidays - Defence</t>
  </si>
  <si>
    <t>I9004F</t>
  </si>
  <si>
    <t>Bank Holidays - Service</t>
  </si>
  <si>
    <t>I9005V</t>
  </si>
  <si>
    <t>Bank Holidays - Production</t>
  </si>
  <si>
    <t>I9006P</t>
  </si>
  <si>
    <t>Maintenance</t>
  </si>
  <si>
    <t>Zenith Energy Limited</t>
  </si>
  <si>
    <t>Year 3 of 3 Year Annual Support Contract 1st February 2023 to 31st January 2024 including Telephone Support, Emergency Callout &amp; Health Check.</t>
  </si>
  <si>
    <t>M13540037V</t>
  </si>
  <si>
    <t>Annual Support Contract 20th January 2023 - 19th January 2024, includung Telephone Support, Emergency Callout &amp; Health Check - Year 4</t>
  </si>
  <si>
    <t>M14081025V</t>
  </si>
  <si>
    <t>Central Line CCS - Alarm Modifications</t>
  </si>
  <si>
    <t>M14868003D</t>
  </si>
  <si>
    <t>1FM Service Agreement - Period 1</t>
  </si>
  <si>
    <t>M15141C</t>
  </si>
  <si>
    <t>SCADA 3rd Line Support Agreement - 01/01/2020 to 31/03/2025</t>
  </si>
  <si>
    <t>M15228C</t>
  </si>
  <si>
    <t>Uniper UK Limited</t>
  </si>
  <si>
    <t>Suncor Energy Inc. (formerly Petro Canada)</t>
  </si>
  <si>
    <t>Year 5 of 5 Year Annual Support Contract 1st August 2019 to 31st July 2024 including Telephone Support &amp; Emergency Callout</t>
  </si>
  <si>
    <t>M9650083V</t>
  </si>
  <si>
    <t>Warwick Chemicals</t>
  </si>
  <si>
    <t>Product</t>
  </si>
  <si>
    <t>Nexus</t>
  </si>
  <si>
    <t>Repair</t>
  </si>
  <si>
    <t>Repair of 1-0ff Tracklink II Transmitter Serial No 0017</t>
  </si>
  <si>
    <t>R10943105C</t>
  </si>
  <si>
    <t>Repair of 1-0ff Tracklink II Receiver c/w Bracket Serial Number 0146</t>
  </si>
  <si>
    <t>R10943111C</t>
  </si>
  <si>
    <t>1-0ff Antenna Tracklink II c/w Mounting Bracket PIBS  - PIBS Receiver_x000D_
Serial No SEL42223</t>
  </si>
  <si>
    <t>R10943118C</t>
  </si>
  <si>
    <t>Repair of 1-0ff Tracklink II Transmitter Serial No 0205</t>
  </si>
  <si>
    <t>R10943126C</t>
  </si>
  <si>
    <t>Repair of 1-0ff Tracklink II Transmitter Serial No 0226</t>
  </si>
  <si>
    <t>R10943133C</t>
  </si>
  <si>
    <t>LUL Nominee BCV Ltd was Metronet Rail BCV Limited -Templar House(was Canary Wharf (was Infraco BCV)</t>
  </si>
  <si>
    <t>Repair/Replace Customer Supplied F8652X</t>
  </si>
  <si>
    <t>R11480004V</t>
  </si>
  <si>
    <t>1-0ff Subrack ETU24 TSCU Serial No 05020122610_x000D_
1-0ff Subrack ETU24 TSCU Serial No 05020120610_x000D_
1-0ff Subrack ETU24 TSCU Serial No 05020974610</t>
  </si>
  <si>
    <t>DB Regio Tyne and Wear Ltd</t>
  </si>
  <si>
    <t>R11616038C</t>
  </si>
  <si>
    <t>1-0ff HSD4000 for repair Serial No 00117</t>
  </si>
  <si>
    <t>LUL Nominee SSL Ltd</t>
  </si>
  <si>
    <t>R12862016C</t>
  </si>
  <si>
    <t>3-0ff HSD4000 Part No 205/0181 Serial Numbers 156, 222, 48_x000D_
2-0ff HSD2300 Tracklink III Part No 204/2244 Serial Numbers 296, 218</t>
  </si>
  <si>
    <t>R12862020C</t>
  </si>
  <si>
    <t>2-0ff HSD4000  Part No 205/0181 Serial numbers 280, 171 and 1-0ff HSD2300/030 Antenna Serial No 474. To _x000D_
Complete Order3100874604</t>
  </si>
  <si>
    <t>R12862026C</t>
  </si>
  <si>
    <t>Repair of 2-0ff HSD 4000 Units Serial No 0187, 0185_x000D_
8-0ff Tracklink III Serial Numbers 203, 286, 280, 270, 245, 212, 405, 076_x000D_
3-0ff HSD2300/030 Aerials Serial Numbers 764, 810, 569</t>
  </si>
  <si>
    <t>R12862047C</t>
  </si>
  <si>
    <t>1-0ff HSD4000 Serial Number 165</t>
  </si>
  <si>
    <t>R12862075C</t>
  </si>
  <si>
    <t>Repair of 1-0ff F3236 Input module, safety related, binary, 16 fold, SIL 3/Cat.4_x000D_
Serial Number 98432360205146895198</t>
  </si>
  <si>
    <t>R12999032V</t>
  </si>
  <si>
    <t>1-0ff Repair of HSD2300 Serial No 0141</t>
  </si>
  <si>
    <t>Siemens Rail Automation Holdings Ltd was Invensys Rail Limited  - EUSTON</t>
  </si>
  <si>
    <t>R13686006C</t>
  </si>
  <si>
    <t>Repair of Altpro PM12 Magnate Tester Serial No 0906007_x000D_
Requires quote for repair and calibration</t>
  </si>
  <si>
    <t>R13698004C</t>
  </si>
  <si>
    <t>1-0ff ASDO Reader V4.11 with Antenna Material No HSD2300/026 with V4.11 Software Serial No 110.  To be Tested with Alstom equipment.</t>
  </si>
  <si>
    <t>Alstom Transport UK Ltd</t>
  </si>
  <si>
    <t>R13754035C</t>
  </si>
  <si>
    <t>Repair of 2-0ff 3EER400017-0880 CCTV Doorway Camera Grey_x000D_
Serial No 108057111 Transferred from Ulysses Request ID 12628 and Serial No 108141111 Ulysses Request ID 12631</t>
  </si>
  <si>
    <t>R14426C</t>
  </si>
  <si>
    <t>1-0ff Repair of Tracklink III Serial No 00179</t>
  </si>
  <si>
    <t>R14434C</t>
  </si>
  <si>
    <t>1-0ff Tracklink 3 SN 358 for repair</t>
  </si>
  <si>
    <t>R14473C</t>
  </si>
  <si>
    <t>1-0ff Tracklink III Serial No 368  - Bombardier Part No 3EER400013-7433</t>
  </si>
  <si>
    <t>R14532C</t>
  </si>
  <si>
    <t>1-0ff Repair of HSD2300/026 Tracklink III 026 Varriant _x000D_
Serial No 0095 TRANSFERRED FROM ULYSSES ID REQUEST NO 12769</t>
  </si>
  <si>
    <t>Stagecoach South Western Trains Ltd</t>
  </si>
  <si>
    <t>R14537C</t>
  </si>
  <si>
    <t>1-0ff HSD2300/026 ASDO Reader with Internal Antenna_x000D_
Serial No 193</t>
  </si>
  <si>
    <t>R14575C</t>
  </si>
  <si>
    <t>1-0ff Repair 62100 Hima Card - Serial No 984062100001701250294005</t>
  </si>
  <si>
    <t>R14626001V</t>
  </si>
  <si>
    <t>1-0ff Antenna Tracklink II c/w Mounting Brackets Serial No A0142</t>
  </si>
  <si>
    <t>R14691006C</t>
  </si>
  <si>
    <t>1-0ff Unit Transmitter Control Unit for Tracklink II Used on Class 377 SDO_x000D_
 HSD2000/046/01 Serial Number 0064</t>
  </si>
  <si>
    <t>R14691007C</t>
  </si>
  <si>
    <t>1-0ff Unit Transmitter Control Unit for Tracklink II Used on Class 377 SDO_x000D_
 HSD2000/046/01 Serial Number 0085</t>
  </si>
  <si>
    <t>R14691008C</t>
  </si>
  <si>
    <t>Repair of 1 off Speedometer _x000D_
3EER 100002-149 - Serial No. 820237</t>
  </si>
  <si>
    <t>R14695C</t>
  </si>
  <si>
    <t>1-0ff Repair of Speedometer Serial No 816123_x000D_
Bombardier Part No 3EER 100002-149</t>
  </si>
  <si>
    <t>R14720C</t>
  </si>
  <si>
    <t>2-0ff Tracklink Programme Reader Head Serial Numbers 032, 046 _x000D_
1-0ff ALGIZ 10X Handheld Serial Number N/A</t>
  </si>
  <si>
    <t>R14970003C</t>
  </si>
  <si>
    <t>Volker Rail Limited</t>
  </si>
  <si>
    <t>Repair of Customer Supplied F8650X</t>
  </si>
  <si>
    <t>R9876048V</t>
  </si>
  <si>
    <t>Spares</t>
  </si>
  <si>
    <t>LFF (Scotland) Ltd</t>
  </si>
  <si>
    <t>Site</t>
  </si>
  <si>
    <t>SAT Phase 1a - Travel Well Test</t>
  </si>
  <si>
    <t>T15153002H</t>
  </si>
  <si>
    <t>Warranty</t>
  </si>
  <si>
    <t>1-Off Repair under Warranty A2V00002112012 HSD2300/025 Tracklink III, Reader Antenna Serial No. 10011</t>
  </si>
  <si>
    <t>Siemens Mobility GmbH (was: Siemens Ag - Erlangen)</t>
  </si>
  <si>
    <t>W14468010C</t>
  </si>
  <si>
    <t>Repair 1-0ff HSD 2300/025 Tracklink III Reader Antenna Serial No 10067_x000D_
Item No A2V00002112012  Works Order  WDW1062564</t>
  </si>
  <si>
    <t>W14468096C</t>
  </si>
  <si>
    <t>1-0ff Tracklink III Reader Part No HSD2300/025, Serial No 00464 to be repaired under Warranty.</t>
  </si>
  <si>
    <t>W14702001C</t>
  </si>
  <si>
    <t>1-0FF HSD2300/009AF  Serial Number 0018_x000D_
Claim Ref No AAWW028449</t>
  </si>
  <si>
    <t>W14732022C</t>
  </si>
  <si>
    <t>Warranty Repair of 26-0ff HSD2300/009AF and 27-0ff RFT-HSD-2300-1100 Antenna</t>
  </si>
  <si>
    <t>W14732027C</t>
  </si>
  <si>
    <t>Warranty Repair of 42-0ff HSD2300/009AF, 5-0ff HSD233/027 and 44-0ff RFT-HSD-2300-EXT-866 External Antenna</t>
  </si>
  <si>
    <t>W14732028C</t>
  </si>
  <si>
    <t>Repair under Warranty 1-0ff Tracklink III HSD2300/009AF_x000D_
Serial Number: 0110</t>
  </si>
  <si>
    <t>W14732031C</t>
  </si>
  <si>
    <t>Sales</t>
  </si>
  <si>
    <t>General Admin</t>
  </si>
  <si>
    <t>Contract Admin</t>
  </si>
  <si>
    <t>I1306P</t>
  </si>
  <si>
    <t>almarsden</t>
  </si>
  <si>
    <t>Anna Marsden</t>
  </si>
  <si>
    <t/>
  </si>
  <si>
    <t>cparr</t>
  </si>
  <si>
    <t>Chris Parr</t>
  </si>
  <si>
    <t>dbrogan</t>
  </si>
  <si>
    <t>Debbie Brogan</t>
  </si>
  <si>
    <t>iwilkinson</t>
  </si>
  <si>
    <t>Iain Wilkinson</t>
  </si>
  <si>
    <t>nbanner</t>
  </si>
  <si>
    <t>Nigel Banner</t>
  </si>
  <si>
    <t>rwatson</t>
  </si>
  <si>
    <t>Roger Watson</t>
  </si>
  <si>
    <t>tmullen</t>
  </si>
  <si>
    <t>Terry Mullen</t>
  </si>
  <si>
    <t>I15367Z</t>
  </si>
  <si>
    <t>RTU Demo Kit Build</t>
  </si>
  <si>
    <t>knweke</t>
  </si>
  <si>
    <t>Kenneth Nweke</t>
  </si>
  <si>
    <t>vgarcia</t>
  </si>
  <si>
    <t>Vanesa Garcia</t>
  </si>
  <si>
    <t>pcouling</t>
  </si>
  <si>
    <t>Peter Couling</t>
  </si>
  <si>
    <t>bhewitt</t>
  </si>
  <si>
    <t>Ben Hewitt</t>
  </si>
  <si>
    <t>R12862076C</t>
  </si>
  <si>
    <t>1-0ff HSD4000 Serial Number 205</t>
  </si>
  <si>
    <r>
      <rPr>
        <b/>
        <sz val="10"/>
        <rFont val="Calibri"/>
        <family val="2"/>
        <scheme val="minor"/>
      </rPr>
      <t>IH</t>
    </r>
    <r>
      <rPr>
        <sz val="10"/>
        <rFont val="Calibri"/>
        <family val="2"/>
        <scheme val="minor"/>
      </rPr>
      <t>: In House</t>
    </r>
  </si>
  <si>
    <r>
      <rPr>
        <b/>
        <sz val="10"/>
        <rFont val="Calibri"/>
        <family val="2"/>
        <scheme val="minor"/>
      </rPr>
      <t xml:space="preserve">UK: </t>
    </r>
    <r>
      <rPr>
        <sz val="10"/>
        <rFont val="Calibri"/>
        <family val="2"/>
        <scheme val="minor"/>
      </rPr>
      <t>UK Site</t>
    </r>
  </si>
  <si>
    <r>
      <rPr>
        <b/>
        <sz val="10"/>
        <rFont val="Calibri"/>
        <family val="2"/>
        <scheme val="minor"/>
      </rPr>
      <t>ROW:</t>
    </r>
    <r>
      <rPr>
        <sz val="10"/>
        <rFont val="Calibri"/>
        <family val="2"/>
        <scheme val="minor"/>
      </rPr>
      <t xml:space="preserve"> Rest of World Site</t>
    </r>
  </si>
  <si>
    <r>
      <t xml:space="preserve"> Fin/</t>
    </r>
    <r>
      <rPr>
        <b/>
        <sz val="10.5"/>
        <color rgb="FFC00000"/>
        <rFont val="Calibri"/>
        <family val="2"/>
        <scheme val="minor"/>
      </rPr>
      <t>Cal</t>
    </r>
    <r>
      <rPr>
        <b/>
        <sz val="10.5"/>
        <rFont val="Calibri"/>
        <family val="2"/>
        <scheme val="minor"/>
      </rPr>
      <t xml:space="preserve"> Wk:</t>
    </r>
  </si>
  <si>
    <t>Total Calls</t>
  </si>
  <si>
    <r>
      <rPr>
        <b/>
        <sz val="10"/>
        <rFont val="Calibri"/>
        <family val="2"/>
        <scheme val="minor"/>
      </rPr>
      <t>OS:</t>
    </r>
    <r>
      <rPr>
        <sz val="10"/>
        <rFont val="Calibri"/>
        <family val="2"/>
        <scheme val="minor"/>
      </rPr>
      <t xml:space="preserve"> OffShore</t>
    </r>
  </si>
  <si>
    <r>
      <rPr>
        <b/>
        <sz val="11"/>
        <rFont val="Calibri"/>
        <family val="2"/>
        <scheme val="minor"/>
      </rPr>
      <t xml:space="preserve">2) </t>
    </r>
    <r>
      <rPr>
        <sz val="11"/>
        <rFont val="Calibri"/>
        <family val="2"/>
        <scheme val="minor"/>
      </rPr>
      <t>This then allows you to select the week commencing, location and job number.</t>
    </r>
  </si>
  <si>
    <t>C15376F</t>
  </si>
  <si>
    <t>GLNG/SPEC/0010 Review and Update</t>
  </si>
  <si>
    <t>dhibbert</t>
  </si>
  <si>
    <t>Daniel Hibbert</t>
  </si>
  <si>
    <t>dpreston</t>
  </si>
  <si>
    <t>David Preston</t>
  </si>
  <si>
    <t>tray</t>
  </si>
  <si>
    <t>Tim Ray</t>
  </si>
  <si>
    <t>rstubbings</t>
  </si>
  <si>
    <t>Ryan Stubbings</t>
  </si>
  <si>
    <t>gsimpson</t>
  </si>
  <si>
    <t>Greg Simpson</t>
  </si>
  <si>
    <t>Rail Systems common Services</t>
  </si>
  <si>
    <t>aconway</t>
  </si>
  <si>
    <t>Anthony Conway</t>
  </si>
  <si>
    <t>oopeoluwa</t>
  </si>
  <si>
    <t>Obembe Opeoluwa</t>
  </si>
  <si>
    <t>aayari</t>
  </si>
  <si>
    <t>Amor Ayari</t>
  </si>
  <si>
    <t>egrimes</t>
  </si>
  <si>
    <t>Elliott Grimes</t>
  </si>
  <si>
    <t>jadie</t>
  </si>
  <si>
    <t>Jade Adie</t>
  </si>
  <si>
    <t>shamid</t>
  </si>
  <si>
    <t>Shoiab Hamid</t>
  </si>
  <si>
    <t>Safety &amp; Security Assurance</t>
  </si>
  <si>
    <t>C15380F</t>
  </si>
  <si>
    <t>Functional Safety Assessments</t>
  </si>
  <si>
    <t>Ithaca Energy (UK) Limited</t>
  </si>
  <si>
    <t>C15382F</t>
  </si>
  <si>
    <t>Functional Safety Assessments 1,2 and 3</t>
  </si>
  <si>
    <t>C15409F</t>
  </si>
  <si>
    <t>FSA Stages 1, 2 &amp; 3</t>
  </si>
  <si>
    <t>Elster Metering Limited</t>
  </si>
  <si>
    <t>C15286002X</t>
  </si>
  <si>
    <t>Implementation Contract</t>
  </si>
  <si>
    <t>Taffs Well Design Contract</t>
  </si>
  <si>
    <t>C15008019M</t>
  </si>
  <si>
    <t>Mobile Data Contract for PPOS system for 24 months</t>
  </si>
  <si>
    <t>C15411001M</t>
  </si>
  <si>
    <t>ASDO System for Class 350/1/3/4 - Equipment supply</t>
  </si>
  <si>
    <t>C15411002M</t>
  </si>
  <si>
    <t>Spares for ASDO System for Class 350/1/3/4</t>
  </si>
  <si>
    <t>C15411M</t>
  </si>
  <si>
    <t>ASDO System for Class 350/1/3/4 - Engineering</t>
  </si>
  <si>
    <t>W15284002C</t>
  </si>
  <si>
    <t>Warranty repair 1-0ff P2P HSD1600 Serial Number 0198</t>
  </si>
  <si>
    <t>C15389001D</t>
  </si>
  <si>
    <t>York Way/Hackney Downs SCADA GRIP5</t>
  </si>
  <si>
    <t>C15390002S</t>
  </si>
  <si>
    <t>Devon Platform Validators  - Design &amp; Materials</t>
  </si>
  <si>
    <t>C15390S</t>
  </si>
  <si>
    <t>DA3 TVM Project</t>
  </si>
  <si>
    <t>C15399S</t>
  </si>
  <si>
    <t>Didcot Parkway CCTV Renewal &amp; Enhancements</t>
  </si>
  <si>
    <t>C14081027V</t>
  </si>
  <si>
    <t>Addition of new Dirty Smokers Extract Fan - M-98601 - Kittiwake</t>
  </si>
  <si>
    <t>C15400V</t>
  </si>
  <si>
    <t>Vale Pellet plant automation - Initial System</t>
  </si>
  <si>
    <t>Livent Lithium UK Ltd was FMC Chemicals Limited</t>
  </si>
  <si>
    <t xml:space="preserve">Total Hours: </t>
  </si>
  <si>
    <t>Nights Service Cover</t>
  </si>
  <si>
    <t>smccumisky</t>
  </si>
  <si>
    <t>Sean McCumisky</t>
  </si>
  <si>
    <t>cmarnoch</t>
  </si>
  <si>
    <t>Craig Marnoch</t>
  </si>
  <si>
    <t>asheikh</t>
  </si>
  <si>
    <t>Aadil Sheikh</t>
  </si>
  <si>
    <t>nalegeh</t>
  </si>
  <si>
    <t>Nurudeen Alegeh</t>
  </si>
  <si>
    <t>jcritchley</t>
  </si>
  <si>
    <t>Joseph Critchley</t>
  </si>
  <si>
    <t>nsingh</t>
  </si>
  <si>
    <t>Navdeep Singh</t>
  </si>
  <si>
    <t>gwain</t>
  </si>
  <si>
    <t>George Wain</t>
  </si>
  <si>
    <t>jturner</t>
  </si>
  <si>
    <t>Jodie Turner</t>
  </si>
  <si>
    <t>nkulucheta</t>
  </si>
  <si>
    <t>Nicholas Kulucheta</t>
  </si>
  <si>
    <t>C15449F</t>
  </si>
  <si>
    <t>SIL Verification Report and SIF Proof Test Procedures (Re-Validated)</t>
  </si>
  <si>
    <t>PM Projen</t>
  </si>
  <si>
    <t>C15459F</t>
  </si>
  <si>
    <t>Valero Energy Ltd (Pembroke)</t>
  </si>
  <si>
    <t>I11218018A</t>
  </si>
  <si>
    <t>Rail Standards Review</t>
  </si>
  <si>
    <t>C15438M</t>
  </si>
  <si>
    <t>Software updates on PTI modules in EKE Trainnet racks for CAF</t>
  </si>
  <si>
    <t>I15439M</t>
  </si>
  <si>
    <t>Tracklink III Beacon Tags - Water Immersion Test</t>
  </si>
  <si>
    <t>Petards Ltd</t>
  </si>
  <si>
    <t>Upgrade of existing HIQuad/ELOP II Systems to HIQuad X/SILworX</t>
  </si>
  <si>
    <t>C15416004H</t>
  </si>
  <si>
    <t>Relocation and Floorspace rental for Reference System</t>
  </si>
  <si>
    <t>C15416005H</t>
  </si>
  <si>
    <t>Traycar Support during Protocol Development and Information Extraction</t>
  </si>
  <si>
    <t>C15448C</t>
  </si>
  <si>
    <t>Overhaul of Runback Units</t>
  </si>
  <si>
    <t>R14666036C</t>
  </si>
  <si>
    <t>Repair of 1-off HSD2300/025A Tracklink III Reader with standard mounting bracket 110 V DC. Serial Number 0291</t>
  </si>
  <si>
    <t>R14976011C</t>
  </si>
  <si>
    <t>Repair 1-off HSD2300/095 Tester Programmer and Short Screw Beacon Serial Number 054</t>
  </si>
  <si>
    <t>I15173009Z</t>
  </si>
  <si>
    <t>Test rig development for Flirt</t>
  </si>
  <si>
    <t>I15454Z</t>
  </si>
  <si>
    <t>EM4444 Tag Replacement Investigation</t>
  </si>
  <si>
    <t>C15429D</t>
  </si>
  <si>
    <t>Kent Feeder Cable Renewals - Associated SCADA Updates. Use of designs from C15246D.</t>
  </si>
  <si>
    <t>C15440D</t>
  </si>
  <si>
    <t>Kent RTU Renewals - Lowery Bid Submission</t>
  </si>
  <si>
    <t>C15451D</t>
  </si>
  <si>
    <t>NSCD Safer Isolations - SCADA CRE</t>
  </si>
  <si>
    <t>J Murphy &amp; Sons Ltd</t>
  </si>
  <si>
    <t>C15452D</t>
  </si>
  <si>
    <t>25KV Substation &amp; CB Renewals - SCADA CRE</t>
  </si>
  <si>
    <t>C15433S</t>
  </si>
  <si>
    <t>NTL CIS Replacements Programme - Work Package 2 Rev2</t>
  </si>
  <si>
    <t>C14497010V</t>
  </si>
  <si>
    <t>Operator &amp; Maintenance Training - C14497H</t>
  </si>
  <si>
    <t>SUEZ Recycling &amp; Recovery UK Ltd</t>
  </si>
  <si>
    <t>M10265044V</t>
  </si>
  <si>
    <t>M10265045V</t>
  </si>
  <si>
    <t>Annual Support Contract 1st January 2024 to 31st December 2024 including Telephone Support, Emergency Callout &amp; Health Check.</t>
  </si>
  <si>
    <t>M13270024V</t>
  </si>
  <si>
    <t>Year 2 of 3 Annual Support Contract - 1st January 2022 to 31st December 2024, including Telephone Support, Emergency Callout &amp; Health Check. - Wilton</t>
  </si>
  <si>
    <t>M13270025V</t>
  </si>
  <si>
    <t>Year 3 of 3 Annual Support Contract - 1st January 2022 to 31st December 2024, including Telephone Support, Emergency Callout &amp; Health Check. - Wilton</t>
  </si>
  <si>
    <t>HIMA Spares</t>
  </si>
  <si>
    <t>Phone Support</t>
  </si>
  <si>
    <r>
      <rPr>
        <b/>
        <sz val="11"/>
        <rFont val="Calibri"/>
        <family val="2"/>
        <scheme val="minor"/>
      </rPr>
      <t>3)</t>
    </r>
    <r>
      <rPr>
        <sz val="11"/>
        <rFont val="Calibri"/>
        <family val="2"/>
        <scheme val="minor"/>
      </rPr>
      <t xml:space="preserve"> Any  additional hours to be split between</t>
    </r>
    <r>
      <rPr>
        <sz val="11"/>
        <color rgb="FFC00000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OTC</t>
    </r>
    <r>
      <rPr>
        <sz val="11"/>
        <rFont val="Calibri"/>
        <family val="2"/>
        <scheme val="minor"/>
      </rPr>
      <t xml:space="preserve"> &amp;</t>
    </r>
    <r>
      <rPr>
        <b/>
        <sz val="11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>Approved Paid O/T</t>
    </r>
    <r>
      <rPr>
        <b/>
        <sz val="11"/>
        <rFont val="Calibri"/>
        <family val="2"/>
        <scheme val="minor"/>
      </rPr>
      <t>.</t>
    </r>
  </si>
  <si>
    <r>
      <rPr>
        <b/>
        <sz val="11"/>
        <rFont val="Calibri"/>
        <family val="2"/>
        <scheme val="minor"/>
      </rPr>
      <t>4)</t>
    </r>
    <r>
      <rPr>
        <sz val="11"/>
        <rFont val="Calibri"/>
        <family val="2"/>
        <scheme val="minor"/>
      </rPr>
      <t xml:space="preserve"> Please print in</t>
    </r>
    <r>
      <rPr>
        <b/>
        <sz val="11"/>
        <rFont val="Calibri"/>
        <family val="2"/>
        <scheme val="minor"/>
      </rPr>
      <t xml:space="preserve"> BLACK &amp; WHITE.</t>
    </r>
  </si>
  <si>
    <r>
      <rPr>
        <b/>
        <sz val="11"/>
        <rFont val="Calibri"/>
        <family val="2"/>
        <scheme val="minor"/>
      </rPr>
      <t>1)</t>
    </r>
    <r>
      <rPr>
        <sz val="11"/>
        <rFont val="Calibri"/>
        <family val="2"/>
        <scheme val="minor"/>
      </rPr>
      <t xml:space="preserve"> Select the cell 'Select From List', this will bring a dialog box up.</t>
    </r>
  </si>
  <si>
    <t>C14985014M</t>
  </si>
  <si>
    <t>Power changeover functionality on Merseyrail ASDO</t>
  </si>
  <si>
    <t>C15338002M</t>
  </si>
  <si>
    <t>4 off Radio Changeover controllers, SC1005TW for Contract C15338M</t>
  </si>
  <si>
    <t>C15187002H</t>
  </si>
  <si>
    <t>Pilot Voting Systems Modification - LESR</t>
  </si>
  <si>
    <t>I4101H</t>
  </si>
  <si>
    <t>DPRs / 1-2-1s - Safety/Controls/Assurance</t>
  </si>
  <si>
    <t>T15187003H</t>
  </si>
  <si>
    <t>Site-Work - SAT 2 - Installation (System and Marshalling Cabinet), SAT / Commissioning for LESR Modifications</t>
  </si>
  <si>
    <t>I4106P</t>
  </si>
  <si>
    <t>DPRs / 1-2-1s - Production</t>
  </si>
  <si>
    <t>I4103Z</t>
  </si>
  <si>
    <t>DPRs / 1-2-1s - Rail Systems</t>
  </si>
  <si>
    <t>Octavius Infrastructure Limited</t>
  </si>
  <si>
    <t>C15390003S</t>
  </si>
  <si>
    <t>Storage and transportation for the gallows and cabinets</t>
  </si>
  <si>
    <t>C15465S</t>
  </si>
  <si>
    <t>GRIP5 Telecoms Design for Lea Green Station</t>
  </si>
  <si>
    <t>The Casey Group Ltd</t>
  </si>
  <si>
    <t>C11590011V</t>
  </si>
  <si>
    <t>Project Summer - In house Engineering + Site Visit</t>
  </si>
  <si>
    <t>Engenda Group Ltd</t>
  </si>
  <si>
    <t>I2005014V</t>
  </si>
  <si>
    <t>Training - Nurudeen Alegeh</t>
  </si>
  <si>
    <t>I4105V</t>
  </si>
  <si>
    <t>DPRs / 1-2-1s - Tech Support</t>
  </si>
  <si>
    <t>C15338003M</t>
  </si>
  <si>
    <t>Tracklink III Readers for Tyne &amp; Wear Radio Changeover</t>
  </si>
  <si>
    <t>M11805052V</t>
  </si>
  <si>
    <t>Year 2 of 3 Year Annual Support Contract 1st May 2022 to 30th April 2025 including Telephone Support, Emergency Callout &amp; Health Check. - 3 Year</t>
  </si>
  <si>
    <t>Calor Gas Limited</t>
  </si>
  <si>
    <t>T15277004H</t>
  </si>
  <si>
    <t>Installation / Commissioning of Phase 1 Enabling Works Equipment</t>
  </si>
  <si>
    <t>R10943145C</t>
  </si>
  <si>
    <t>Repair of 1-off Tracklink II Antenna Serial Number SEL56070</t>
  </si>
  <si>
    <t>C15456001D</t>
  </si>
  <si>
    <t>Kent CP6 DC Switchgear Renewal Grip 6-8</t>
  </si>
  <si>
    <t>I14293015V</t>
  </si>
  <si>
    <t>Flyndre Controls System Alarms_x000D_
System Fault to book costs</t>
  </si>
  <si>
    <t>M11805053V</t>
  </si>
  <si>
    <t>Year 3 of 3 Year Annual Support Contract 1st May 2022 to 30th April 2025 including Telephone Support, Emergency Callout &amp; Health Check. - 3 Year</t>
  </si>
  <si>
    <t>C15473F</t>
  </si>
  <si>
    <t>Production of Proof Test Procedures</t>
  </si>
  <si>
    <t>C14951003D</t>
  </si>
  <si>
    <t>Replacement RTU</t>
  </si>
  <si>
    <t>Phone Support Bank Holiday</t>
  </si>
  <si>
    <t>tmurphy</t>
  </si>
  <si>
    <t>Tyler Murphy</t>
  </si>
  <si>
    <t>akrishna</t>
  </si>
  <si>
    <t>Anil Krishna</t>
  </si>
  <si>
    <t>amaqsood</t>
  </si>
  <si>
    <t>Atif Maqsood</t>
  </si>
  <si>
    <t>rgriffiths</t>
  </si>
  <si>
    <t>Ryan Griffiths</t>
  </si>
  <si>
    <t>kwimsey</t>
  </si>
  <si>
    <t>Kian Wimsey</t>
  </si>
  <si>
    <t>mfiedler</t>
  </si>
  <si>
    <t>Mark Fiedler</t>
  </si>
  <si>
    <t>HS2</t>
  </si>
  <si>
    <t>srawlings</t>
  </si>
  <si>
    <t>Sarah Rawlings</t>
  </si>
  <si>
    <t>mmartin</t>
  </si>
  <si>
    <t>Matthew Martin</t>
  </si>
  <si>
    <t>kfletcher</t>
  </si>
  <si>
    <t>Kevin Fletcher</t>
  </si>
  <si>
    <t>msamuels</t>
  </si>
  <si>
    <t>Mark Samuels</t>
  </si>
  <si>
    <t>tcardey</t>
  </si>
  <si>
    <t>Thomas Cardey</t>
  </si>
  <si>
    <t>pmitchell</t>
  </si>
  <si>
    <t>Philip Mitchell</t>
  </si>
  <si>
    <t>mfoley</t>
  </si>
  <si>
    <t>Max Foley</t>
  </si>
  <si>
    <t>jlakin</t>
  </si>
  <si>
    <t>Joseph Lakin</t>
  </si>
  <si>
    <t>pkirk</t>
  </si>
  <si>
    <t>Paul Kirk</t>
  </si>
  <si>
    <t>charrison</t>
  </si>
  <si>
    <t>Connor Harrison</t>
  </si>
  <si>
    <t>nsmith</t>
  </si>
  <si>
    <t>Nicholas Smith</t>
  </si>
  <si>
    <t>agockowiak</t>
  </si>
  <si>
    <t>Aleksandra Gockowiak</t>
  </si>
  <si>
    <t>mgreen</t>
  </si>
  <si>
    <t>Martin Green</t>
  </si>
  <si>
    <t>kvaza</t>
  </si>
  <si>
    <t>Khalid Vaza</t>
  </si>
  <si>
    <t>adavis</t>
  </si>
  <si>
    <t>Adam Davis</t>
  </si>
  <si>
    <t>mtonge</t>
  </si>
  <si>
    <t>Michael Tonge</t>
  </si>
  <si>
    <t>ccrawford</t>
  </si>
  <si>
    <t>Christopher Crawford</t>
  </si>
  <si>
    <t>jmontgomery</t>
  </si>
  <si>
    <t>Jamie Montgomery</t>
  </si>
  <si>
    <t>mstott</t>
  </si>
  <si>
    <t>Matthew Stott</t>
  </si>
  <si>
    <t>preddy</t>
  </si>
  <si>
    <t>Paul Reddy</t>
  </si>
  <si>
    <t>22:30:00</t>
  </si>
  <si>
    <t>mehtiawesh</t>
  </si>
  <si>
    <t>Mohamed Ehtaiwesh</t>
  </si>
  <si>
    <t>rphilip</t>
  </si>
  <si>
    <t>Rejin Philip</t>
  </si>
  <si>
    <t>hlewis</t>
  </si>
  <si>
    <t>Harry Lewis</t>
  </si>
  <si>
    <t>kpatel</t>
  </si>
  <si>
    <t>Ketan Patel</t>
  </si>
  <si>
    <t>mrea</t>
  </si>
  <si>
    <t>Matthew Rea</t>
  </si>
  <si>
    <t>rnield</t>
  </si>
  <si>
    <t>Robert Nield</t>
  </si>
  <si>
    <t>jkenny</t>
  </si>
  <si>
    <t>Joseph Kenny</t>
  </si>
  <si>
    <t>dvaughan</t>
  </si>
  <si>
    <t>David Vaughan</t>
  </si>
  <si>
    <t>plittlewood</t>
  </si>
  <si>
    <t>Paul Littlewood</t>
  </si>
  <si>
    <t>ccheetham</t>
  </si>
  <si>
    <t>Christopher Cheetham</t>
  </si>
  <si>
    <t>sross</t>
  </si>
  <si>
    <t>Scott Ross</t>
  </si>
  <si>
    <t>pdrmm</t>
  </si>
  <si>
    <t>Patrick Drumm</t>
  </si>
  <si>
    <t>chou</t>
  </si>
  <si>
    <t>Chun Fai Hou</t>
  </si>
  <si>
    <t>C15276001F</t>
  </si>
  <si>
    <t>Functional Safety Assessment Stage 3</t>
  </si>
  <si>
    <t>Guardian Industries UK Ltd</t>
  </si>
  <si>
    <t>BASF Plc - Bradford</t>
  </si>
  <si>
    <t>C15506F</t>
  </si>
  <si>
    <t>Safety Requirement Documents</t>
  </si>
  <si>
    <t>C15518F</t>
  </si>
  <si>
    <t>FSA Stages 1 &amp; 2</t>
  </si>
  <si>
    <t>C15546F</t>
  </si>
  <si>
    <t>Function Safety Services</t>
  </si>
  <si>
    <t>Veolia ES (UK) Limited</t>
  </si>
  <si>
    <t>Exolum Pipeline System Ltd</t>
  </si>
  <si>
    <t>C15512G</t>
  </si>
  <si>
    <t>Valve Isolation Cabinets</t>
  </si>
  <si>
    <t>C15515001G</t>
  </si>
  <si>
    <t>Control Systems for the UOF Crane at Sellafield</t>
  </si>
  <si>
    <t>Taim Weser S.A.</t>
  </si>
  <si>
    <t>C15515G</t>
  </si>
  <si>
    <t>Control Systems for the LOF Crane at Sellafield</t>
  </si>
  <si>
    <t>C15286004X</t>
  </si>
  <si>
    <t>aCATS</t>
  </si>
  <si>
    <t>C15286005X</t>
  </si>
  <si>
    <t>gHATS</t>
  </si>
  <si>
    <t>I13813009A</t>
  </si>
  <si>
    <t>Control Maestro Issues</t>
  </si>
  <si>
    <t>Alstom Engineering and Services Limited (was Bombardier Transportation)</t>
  </si>
  <si>
    <t>C15286006M</t>
  </si>
  <si>
    <t>54 beacons plus programming to be installed at Taffs Well Depot</t>
  </si>
  <si>
    <t>C15477M</t>
  </si>
  <si>
    <t>Tracklink III Beacons for Wales &amp; Borders</t>
  </si>
  <si>
    <t>C15508M</t>
  </si>
  <si>
    <t>Tracklink II Beacon</t>
  </si>
  <si>
    <t>Tracklink III Readers for  ASDO Project, Australia</t>
  </si>
  <si>
    <t>C15527M</t>
  </si>
  <si>
    <t>Training for Programming/Testing Tracklink III Beacons</t>
  </si>
  <si>
    <t>C15277008H</t>
  </si>
  <si>
    <t>Revised LER quote based on new supplier</t>
  </si>
  <si>
    <t>C15277009H</t>
  </si>
  <si>
    <t>Revised UPS quote based on redundant system</t>
  </si>
  <si>
    <t>C15292003H</t>
  </si>
  <si>
    <t>New Analogue output card and implementation of software modifications received 11/07/2022</t>
  </si>
  <si>
    <t>C15487002H</t>
  </si>
  <si>
    <t>Long Lead Items - 35% DISCOUNT IS APPLICABLE FROM HIMA</t>
  </si>
  <si>
    <t>Three60 Energy</t>
  </si>
  <si>
    <t>C15487H</t>
  </si>
  <si>
    <t>Fire &amp; Gas Upgrade - Engineering &amp; Manufacture</t>
  </si>
  <si>
    <t>C15493H</t>
  </si>
  <si>
    <t>Ribbon Cable Interface Replacement</t>
  </si>
  <si>
    <t>C15523H</t>
  </si>
  <si>
    <t>BOCP Compressor SIS</t>
  </si>
  <si>
    <t>INEOS UK SNS Limited</t>
  </si>
  <si>
    <t>C15535H</t>
  </si>
  <si>
    <t>C15544H</t>
  </si>
  <si>
    <t>C15573H</t>
  </si>
  <si>
    <t>T15277006H</t>
  </si>
  <si>
    <t>Associated Sitework - Site Shutdown and Cutover</t>
  </si>
  <si>
    <t>T15432002H</t>
  </si>
  <si>
    <t>Associated site works</t>
  </si>
  <si>
    <t>T15487001H</t>
  </si>
  <si>
    <t>Fire &amp; Gas Upgrade - Offshore Survey</t>
  </si>
  <si>
    <t>T15544001H</t>
  </si>
  <si>
    <t>Contract Admin - Production</t>
  </si>
  <si>
    <t>R10943147C</t>
  </si>
  <si>
    <t>Repair of 1-off HSD2000/026 Tracklink II Serial Number 0190</t>
  </si>
  <si>
    <t>R10943148C</t>
  </si>
  <si>
    <t>Repair of 1-off HSD2000/026 Serial Number 0236</t>
  </si>
  <si>
    <t>R10943153C</t>
  </si>
  <si>
    <t>Repair of 1-off HSD2000/026 Tracklink II Serial Number 0331 and 1-off HSD2000/007 Antenna Serial Number 0362</t>
  </si>
  <si>
    <t>R10943156C</t>
  </si>
  <si>
    <t>Repair of 1-off HSD2000/007 Tracklink II Antenna Serial Number 0371</t>
  </si>
  <si>
    <t>R10943159C</t>
  </si>
  <si>
    <t>Repair of 1-off HSD2000/007 Serial Number 0234</t>
  </si>
  <si>
    <t>R10943161C</t>
  </si>
  <si>
    <t>Repair of 1-off HSD2000/026 Tracklink II Receiver Serial Number 0097</t>
  </si>
  <si>
    <t>R10943162C</t>
  </si>
  <si>
    <t>Repair of 1-off HSD2000/007 Serial Number A0127</t>
  </si>
  <si>
    <t>R10943163C</t>
  </si>
  <si>
    <t>Repair of 1-off HSD2000/007 Serial Number 0356</t>
  </si>
  <si>
    <t>R10943164C</t>
  </si>
  <si>
    <t>Repair of 1-off HSD2000/007 Serial Number A0002</t>
  </si>
  <si>
    <t>R12526388C</t>
  </si>
  <si>
    <t>R12526390C</t>
  </si>
  <si>
    <t>Repair of 2-off DOO Camera Pods Grey Part No 3EER400017-0880 Serial No 103893108 and 104326108</t>
  </si>
  <si>
    <t>R12526399C</t>
  </si>
  <si>
    <t>Repair of 1-off DOO Camera Pod Grey Part No 3EER400017-0880 Serial No 104133108</t>
  </si>
  <si>
    <t>R12862117C</t>
  </si>
  <si>
    <t>Repair of 1-off HSD2300/030 Tracklink III Antenna Part Number 205/0180 Serial Number 646</t>
  </si>
  <si>
    <t>R12862118C</t>
  </si>
  <si>
    <t>Repair of 1-off HSD2300/030 Tracklink III Antenna Part No 205/0180 Serial No 786</t>
  </si>
  <si>
    <t>R12862119C</t>
  </si>
  <si>
    <t>Repair of 1-off HSD2300/030 Tracklink III Antenna Part No 205/0180 Serial No 811</t>
  </si>
  <si>
    <t>R12862124C</t>
  </si>
  <si>
    <t>Repair of 1-off HSD2300/030 Tracklink III Antenna Part No 205/0180 Serial No 653</t>
  </si>
  <si>
    <t>R12862125C</t>
  </si>
  <si>
    <t>Repair of 1-off HSD2300/030 Tracklink III Part No 205/0180 Serial No 088</t>
  </si>
  <si>
    <t>R13790040C</t>
  </si>
  <si>
    <t>Repair of 1-off HSD2000/007 Serial Number 0340</t>
  </si>
  <si>
    <t>R13790041C</t>
  </si>
  <si>
    <t>Repair of 1-off HSD2000/007 Serial Number 0286</t>
  </si>
  <si>
    <t>R14732042C</t>
  </si>
  <si>
    <t>Repair of 1-off HSD2300/009 AF Serial Number 164</t>
  </si>
  <si>
    <t>R15341001C</t>
  </si>
  <si>
    <t>Repair of 1-off HSD2000/046/01 Serial Number C15341M/001</t>
  </si>
  <si>
    <t>W14824039C</t>
  </si>
  <si>
    <t>Repair under warranty 1-off HSD2300/025A AVSW01 Serial Number 0386</t>
  </si>
  <si>
    <t>W15173012C</t>
  </si>
  <si>
    <t>I15483Z</t>
  </si>
  <si>
    <t>Development of RTU Test Equipment</t>
  </si>
  <si>
    <t>I15500Z</t>
  </si>
  <si>
    <t>MT700 Driver Works</t>
  </si>
  <si>
    <t>C15332001D</t>
  </si>
  <si>
    <t>Day Visit - Ford Substation 16/08/22</t>
  </si>
  <si>
    <t>C15496D</t>
  </si>
  <si>
    <t>C15509D</t>
  </si>
  <si>
    <t>Solution Rail Ltd</t>
  </si>
  <si>
    <t>C15516D</t>
  </si>
  <si>
    <t>C15528D</t>
  </si>
  <si>
    <t>C15536D</t>
  </si>
  <si>
    <t>Kent iDCCB Grip 5 Design</t>
  </si>
  <si>
    <t>C15568D</t>
  </si>
  <si>
    <t>C15579D</t>
  </si>
  <si>
    <t>Feltham Phase 3 &amp; 4 Works</t>
  </si>
  <si>
    <t>C15582D</t>
  </si>
  <si>
    <t>MT700 Driver Investigation</t>
  </si>
  <si>
    <t>W15236001D</t>
  </si>
  <si>
    <t>On site fault investigation</t>
  </si>
  <si>
    <t>C15433001S</t>
  </si>
  <si>
    <t>NTL - CIS Lot 0B Work Package 24</t>
  </si>
  <si>
    <t>C15433002S</t>
  </si>
  <si>
    <t>Gaitronic Help Point Supply</t>
  </si>
  <si>
    <t>Railway Electrical Services</t>
  </si>
  <si>
    <t>C15520S</t>
  </si>
  <si>
    <t>Dawlish Footbridge Telecoms Design</t>
  </si>
  <si>
    <t>C15569S</t>
  </si>
  <si>
    <t>Lea Green MSCP - GRIP6-8 for Telecoms</t>
  </si>
  <si>
    <t>C15572S</t>
  </si>
  <si>
    <t>Salford Central - Materials</t>
  </si>
  <si>
    <t>C11177008V</t>
  </si>
  <si>
    <t>Site Time for Health Check - C11177H</t>
  </si>
  <si>
    <t>C11930103V</t>
  </si>
  <si>
    <t>New Planar 4 ESD Cabinet - InHouse Engineering &amp; Equipment</t>
  </si>
  <si>
    <t>C13439017V</t>
  </si>
  <si>
    <t>Site works associated with U500 Installation + supply of H4135A Relay</t>
  </si>
  <si>
    <t>C13459003V</t>
  </si>
  <si>
    <t>HIMatrix Modifications &amp; HIMatrix &amp; SILworX Upgrade</t>
  </si>
  <si>
    <t>C14148002V</t>
  </si>
  <si>
    <t>Suncombe Ltd</t>
  </si>
  <si>
    <t>C15153004V</t>
  </si>
  <si>
    <t>Site Works associated with C15153003H</t>
  </si>
  <si>
    <t>C15490V</t>
  </si>
  <si>
    <t>PCS and ESD System - Integration + HIMA F60 Hardware only_x000D_
Lines 8 &amp; 9 of P.O. 265-UK083021 refers.  See also related job C15490001F</t>
  </si>
  <si>
    <t>Simmtronic Limited Lighting Controls - BCNS - COTS</t>
  </si>
  <si>
    <t>C9650091V</t>
  </si>
  <si>
    <t>Health Check Equipment - C9650H</t>
  </si>
  <si>
    <t>PETRO-CANADA TERRA NOVA PTR</t>
  </si>
  <si>
    <t>I2005015V</t>
  </si>
  <si>
    <t>Training - Tyler Murphy</t>
  </si>
  <si>
    <t>I2005016V</t>
  </si>
  <si>
    <t>Year 2 Annual Support Contract 1st January 2023 to 31st December 2023 including Telephone Support, Emergency Callout &amp; Health Check.</t>
  </si>
  <si>
    <t>M9411057V</t>
  </si>
  <si>
    <t>Year 1. Annual Support Contract - 1st January 2023 to 31st December 2025, including Telephone Support, Emergency Callout &amp; Health Check.</t>
  </si>
  <si>
    <t>M9411058V</t>
  </si>
  <si>
    <t>Year 2 Annual Support Contract - 1st January 2023 to 31st December 2025, including Telephone Support, Emergency Callout &amp; Health Check.</t>
  </si>
  <si>
    <t>M9411059V</t>
  </si>
  <si>
    <t>Year 3 Annual Support Contract - 1st January 2023 to 31st December 2025, including Telephone Support, Emergency Callout &amp; Health Check.</t>
  </si>
  <si>
    <t>R11177009V</t>
  </si>
  <si>
    <t>Repair of 1-off F8650E Serial Number 00.042808.019</t>
  </si>
  <si>
    <t>T14502008V</t>
  </si>
  <si>
    <t>Site Visit - C14502H - Fault finding on PS3 ESD008</t>
  </si>
  <si>
    <t>Phone Support Xmas</t>
  </si>
  <si>
    <t>dsmart</t>
  </si>
  <si>
    <t>Derek Smart</t>
  </si>
  <si>
    <t xml:space="preserve">  :  :</t>
  </si>
  <si>
    <t>lnoble</t>
  </si>
  <si>
    <t>Lizzie Noble</t>
  </si>
  <si>
    <t>jblackwell</t>
  </si>
  <si>
    <t>John Blackwell</t>
  </si>
  <si>
    <t>eturnock</t>
  </si>
  <si>
    <t>Eddy Turnock</t>
  </si>
  <si>
    <t>psykes</t>
  </si>
  <si>
    <t>Philip Sykes</t>
  </si>
  <si>
    <t>21:00:00</t>
  </si>
  <si>
    <t>C15318F</t>
  </si>
  <si>
    <t>Stage 1 Functional Safety Assessment for Canvey Island</t>
  </si>
  <si>
    <t>C15601F</t>
  </si>
  <si>
    <t>Facilitation of a HAZOP for the Rawcliffe PSD</t>
  </si>
  <si>
    <t>C15626F</t>
  </si>
  <si>
    <t>Facilitation of a HAZOP for Coleby Heath, Waddington PRE and Coningsby PRE</t>
  </si>
  <si>
    <t>C15632F</t>
  </si>
  <si>
    <t>TÜV Rheinland Functional Safety Engineer (SIS) Training Course</t>
  </si>
  <si>
    <t>C15642F</t>
  </si>
  <si>
    <t>Alarm Rationalisation Workshop at Canvey Island site (4 days)</t>
  </si>
  <si>
    <t>C15599G</t>
  </si>
  <si>
    <t>C15614G</t>
  </si>
  <si>
    <t>Test Rig Panel Build</t>
  </si>
  <si>
    <t>ITM Power plc</t>
  </si>
  <si>
    <t>I15615A</t>
  </si>
  <si>
    <t>HIMA Integration Costs</t>
  </si>
  <si>
    <t>C14789015M</t>
  </si>
  <si>
    <t>Tracklink III Readers for  ASDO Project, Australia HCMT</t>
  </si>
  <si>
    <t>C15173016M</t>
  </si>
  <si>
    <t>ASDO Controller</t>
  </si>
  <si>
    <t>C15477001M</t>
  </si>
  <si>
    <t>Supply of E -Clip and Fast Clip spare beacons</t>
  </si>
  <si>
    <t>C15477002M</t>
  </si>
  <si>
    <t>Spare Beacons for CVL</t>
  </si>
  <si>
    <t>C15586M</t>
  </si>
  <si>
    <t>12 Tracklink III Beacons</t>
  </si>
  <si>
    <t>C15602M</t>
  </si>
  <si>
    <t>Tracklink III Readers</t>
  </si>
  <si>
    <t>C15643M</t>
  </si>
  <si>
    <t>Tracklink III Beacon Programmer/tester, Beacons and re-tagging of beacons</t>
  </si>
  <si>
    <t>Rail for London Limited</t>
  </si>
  <si>
    <t>C13234024H</t>
  </si>
  <si>
    <t>C14144011H</t>
  </si>
  <si>
    <t>HIMA Hardware</t>
  </si>
  <si>
    <t>WNA3 Replacement HIMax ESD System</t>
  </si>
  <si>
    <t>HIMATRIX SIS</t>
  </si>
  <si>
    <t>C15591H</t>
  </si>
  <si>
    <t>RIOs, PLC9359 and Site Mods</t>
  </si>
  <si>
    <t>T13234025H</t>
  </si>
  <si>
    <t>Upgrade of existing HIQuad/ELOP II Systems to HIQuad X/SILworX - Associated Siteworks</t>
  </si>
  <si>
    <t>T15523001H</t>
  </si>
  <si>
    <t>BOCP Compressor SIS - Associated Siteworks</t>
  </si>
  <si>
    <t>T15535001H</t>
  </si>
  <si>
    <t>Site Works</t>
  </si>
  <si>
    <t>T15591001H</t>
  </si>
  <si>
    <t>M15630C</t>
  </si>
  <si>
    <t>28 day Interim Option</t>
  </si>
  <si>
    <t>P15616C</t>
  </si>
  <si>
    <t>EXTERNAL CAMERA HOUSING L.H. - EXTERNAL CAMERA HOUSING R.H.</t>
  </si>
  <si>
    <t>MAGNET ENGINE 82753/1207 / SEL-AG / SACH-NR82751 12020 / AUSG STL 1 SZ 1 / _x000D_
HIMA-SELLA TYPE LLC0512 (OLD REF) / (with SEL connector) / NEW REF (02/08/13) AP108137.5</t>
  </si>
  <si>
    <t>R10943167C</t>
  </si>
  <si>
    <t>Repair of 1-off HSD2000/007 Serial Number 0240</t>
  </si>
  <si>
    <t>R10943169C</t>
  </si>
  <si>
    <t>Repair of 1-off HSD2000/026 Serial Number 0079</t>
  </si>
  <si>
    <t>R12526401C</t>
  </si>
  <si>
    <t>Repair of 1-off DOO Camera Pod Grey Part No 3EER400017-0880 Serial No 105245109</t>
  </si>
  <si>
    <t>R12526410C</t>
  </si>
  <si>
    <t>Repair Saloon CCTV modification to ISX017 version Serial Numbers 14-12-088 and 15-05-229</t>
  </si>
  <si>
    <t>R12526412C</t>
  </si>
  <si>
    <t>Repair of 1-off DOO Camera Pod Grey Part No 3EER400017-0880 Serial No 104976109</t>
  </si>
  <si>
    <t>R12862145C</t>
  </si>
  <si>
    <t>Repair of 1-off HSD2300/009 Part No 205/0179 Serial No 232</t>
  </si>
  <si>
    <t>R12862148C</t>
  </si>
  <si>
    <t>Repair of 1-off HSD2300/030 Part No 205/0180 Serial No 696</t>
  </si>
  <si>
    <t>R12862149C</t>
  </si>
  <si>
    <t>Repair of 1-off HSD2300/030 Part No 205/0180 Serial No 788</t>
  </si>
  <si>
    <t>R13790043C</t>
  </si>
  <si>
    <t>Repair of 1-off HSD2000/007 Serial Number 305</t>
  </si>
  <si>
    <t>R13790046C</t>
  </si>
  <si>
    <t>R14732043C</t>
  </si>
  <si>
    <t>Repair of 1-off HSD2300/009AF Serial Number 0087</t>
  </si>
  <si>
    <t>R14789017C</t>
  </si>
  <si>
    <t>Repair of 1-off HSD2300/025AA Serial Number 018</t>
  </si>
  <si>
    <t>R15195004C</t>
  </si>
  <si>
    <t>Repair of 1-off HSD2300/025A 24V Serial Number 1019</t>
  </si>
  <si>
    <t>W15008020C</t>
  </si>
  <si>
    <t>Repair under warranty of 1-off PPOS Controller PP03978A Serial Number 226101</t>
  </si>
  <si>
    <t>Warranty repair of 1-off ASDO Controller Serial No 234166. Stadler Reference B082NT14C</t>
  </si>
  <si>
    <t>I15596Z</t>
  </si>
  <si>
    <t>Production of a Requirements Traceability Manager</t>
  </si>
  <si>
    <t>I15605Z</t>
  </si>
  <si>
    <t>C15361001D</t>
  </si>
  <si>
    <t>NTCC IESS Expansion Works</t>
  </si>
  <si>
    <t>Crossrail CRBMS - Factory Works Implementation works suspended from 05/04/23</t>
  </si>
  <si>
    <t>Chislehurst RTU Build, Factory Test &amp; Ship see C15349D</t>
  </si>
  <si>
    <t>C15597D</t>
  </si>
  <si>
    <t>Polhill NSCD SCADA Form AB Design</t>
  </si>
  <si>
    <t>C15606D</t>
  </si>
  <si>
    <t>Wessex CTS/NSCD Works</t>
  </si>
  <si>
    <t>AM1 Projects Limited</t>
  </si>
  <si>
    <t>C15618D</t>
  </si>
  <si>
    <t>AGH Engineering</t>
  </si>
  <si>
    <t>C15619D</t>
  </si>
  <si>
    <t>GRIP4 SCADA works</t>
  </si>
  <si>
    <t>C15628D</t>
  </si>
  <si>
    <t>West India Quay RTU SCADA Works</t>
  </si>
  <si>
    <t>SMB Electrical Contractors Limited</t>
  </si>
  <si>
    <t>C15634D</t>
  </si>
  <si>
    <t>Provision fo P2P Equipment</t>
  </si>
  <si>
    <t>C15639D</t>
  </si>
  <si>
    <t>Melton RIDC SCADA</t>
  </si>
  <si>
    <t>Power Supply Projects</t>
  </si>
  <si>
    <t>W15440001D</t>
  </si>
  <si>
    <t>Post testing site faults C15440D</t>
  </si>
  <si>
    <t>C15390005S</t>
  </si>
  <si>
    <t>Storage of gallows and cabinets</t>
  </si>
  <si>
    <t>C15433003S</t>
  </si>
  <si>
    <t>SIF Works</t>
  </si>
  <si>
    <t>C15587S</t>
  </si>
  <si>
    <t>NTL &amp; TFGM - 14 Stations GRIP4-8 CIS, LLPA, CCTV &amp; PHP</t>
  </si>
  <si>
    <t>C15636S</t>
  </si>
  <si>
    <t>NTL CIS Replacements Programme Lot 1 - Combined Total for Work Packages, 4,5,6,7,26, 27 &amp; TRU</t>
  </si>
  <si>
    <t>C11014005V</t>
  </si>
  <si>
    <t>Option 1 - Hima A1 PLC upgrade only</t>
  </si>
  <si>
    <t>Perenco UK Ltd (Great Yarmouth)</t>
  </si>
  <si>
    <t>C13004003V</t>
  </si>
  <si>
    <t>ELOP-II Upgrade - North Tees_x000D_
This P.O. No. also covers Job No. C11595015V</t>
  </si>
  <si>
    <t>C13546012V</t>
  </si>
  <si>
    <t>FMT Fire Detection Upgrade_x000D_
See also associated job no. T13546013V</t>
  </si>
  <si>
    <t>C13909012V</t>
  </si>
  <si>
    <t>C14040007V</t>
  </si>
  <si>
    <t>C15490003V</t>
  </si>
  <si>
    <t>PCS and ESD System  - Integration follow up / additional work (Post demob site 13th Jan 2023).</t>
  </si>
  <si>
    <t>C15635V</t>
  </si>
  <si>
    <t>ETB TC Runcorn Hima Shutdown System Replacement - Upgrade PF to P4 - C5060G</t>
  </si>
  <si>
    <t>INEOS Technologies Ltd</t>
  </si>
  <si>
    <t>C4118013V</t>
  </si>
  <si>
    <t>Metering Relays - C4118H - Unit 1 &amp; Unit 2</t>
  </si>
  <si>
    <t>I15627V</t>
  </si>
  <si>
    <t>Lifecycle Support Contract 3rd party licenses</t>
  </si>
  <si>
    <t>Training - Rejin Philip</t>
  </si>
  <si>
    <t>I2005017V</t>
  </si>
  <si>
    <t>Training - Abdulkadir Abduljabar</t>
  </si>
  <si>
    <t>I2005018V</t>
  </si>
  <si>
    <t>Training - Phil Sykes</t>
  </si>
  <si>
    <t>M11177010V</t>
  </si>
  <si>
    <t>Year 1 of 3 Year  Support Contract - 1st February 2023 to 31st January 2026, including Telephone Support, Emergency Callout &amp; Health Check. - 3 Year</t>
  </si>
  <si>
    <t>M11177011V</t>
  </si>
  <si>
    <t>Year 2 of 3 Year  Support Contract - 1st February 2023 to 31st January 2026, including Telephone Support, Emergency Callout &amp; Health Check. - 3 Year</t>
  </si>
  <si>
    <t>M11177012V</t>
  </si>
  <si>
    <t>Year 3 of 3 Year  Support Contract - 1st February 2023 to 31st January 2026, including Telephone Support, Emergency Callout &amp; Health Check. - 3 Year</t>
  </si>
  <si>
    <t>M11467040V</t>
  </si>
  <si>
    <t>Annual Support Contract - 1st January 2023 to 31st December 2023, including Telephone Support, Emergency Callout. 1 Year</t>
  </si>
  <si>
    <t>M12999048V</t>
  </si>
  <si>
    <t>M14323012V</t>
  </si>
  <si>
    <t>Annual Support Contract - 1st January 2023 to 31st December 2024, including Telephone Support, Emergency Callout &amp; Health Check. - Year 1 of 2 Year</t>
  </si>
  <si>
    <t>M14323013V</t>
  </si>
  <si>
    <t>Year 2 of 2 Year Annual Support Contract  - 1st January 2023 to 31st December 2024, including Telephone Support, Emergency Callout &amp; Health Check. 2 Year</t>
  </si>
  <si>
    <t>M15277011V</t>
  </si>
  <si>
    <t>Annual Support Contract  06/02/23 to 05/02/24 including Telephone Support, Emergency Callout and Health Check</t>
  </si>
  <si>
    <t>Honeywell Control Systems Ltd</t>
  </si>
  <si>
    <t>S15620V</t>
  </si>
  <si>
    <t>HIMax Hardware Only</t>
  </si>
  <si>
    <t>Zeeco Europe Limited</t>
  </si>
  <si>
    <t>S15631V</t>
  </si>
  <si>
    <t>HIMA Spare - 1 off K9203A</t>
  </si>
  <si>
    <t>T13546013V</t>
  </si>
  <si>
    <t>Associated Site Works_x000D_
See also job no. C13546012V</t>
  </si>
  <si>
    <t>M15370004V</t>
  </si>
  <si>
    <t>C8288008V</t>
  </si>
  <si>
    <t>C15648M</t>
  </si>
  <si>
    <t>PMI3 Track Magnet Tester</t>
  </si>
  <si>
    <t>Linbrooke Services Limited</t>
  </si>
  <si>
    <t>T15182001H</t>
  </si>
  <si>
    <t>Site-Work</t>
  </si>
  <si>
    <t>I15645Z</t>
  </si>
  <si>
    <t>I15646Z</t>
  </si>
  <si>
    <t>C15647D</t>
  </si>
  <si>
    <t>Substation Switchgear Trial</t>
  </si>
  <si>
    <t>Modifications to Existing BMS Relay Logic - See also Job No. T8288007V</t>
  </si>
  <si>
    <t>M11896038V</t>
  </si>
  <si>
    <t>Annual Support Contract 23rd March 2023 to 22nd March 2024 including Telephone Support, Emergency Callout &amp; Health Check. - 1 Year</t>
  </si>
  <si>
    <t>C15525002M</t>
  </si>
  <si>
    <t>C15651M</t>
  </si>
  <si>
    <t>Class 378, Automatic Power Changeover - TLIII Readers Only</t>
  </si>
  <si>
    <t>C15655M</t>
  </si>
  <si>
    <t>Tracklink III Readers for Irish Rail Project - First Set - 6 off</t>
  </si>
  <si>
    <t>R10943172C</t>
  </si>
  <si>
    <t>Repair of 1-off HSD 2000/007 Serial Number 0243</t>
  </si>
  <si>
    <t>R12526418C</t>
  </si>
  <si>
    <t>Repair of 1-off DOO Camera Pod Grey Part No 3EER400017-0880 Serial No 1014504115</t>
  </si>
  <si>
    <t>R12526420C</t>
  </si>
  <si>
    <t>Repair of 3-off DOO Camera Pod, 1 x Yellow Part No 3EER400017-0877 Serial No. 103935108, 2 x Grey Part No. 3EER400017-0880 Serial Nos 103943108, 104806109</t>
  </si>
  <si>
    <t>W15173019C</t>
  </si>
  <si>
    <t>Warranty repair of 1-off SC1001F ASDO Controller Serial Number 233771</t>
  </si>
  <si>
    <t>Beckton Depot SCADA - Design &amp; Assurance Works (Contract Award) - On Hold</t>
  </si>
  <si>
    <t>C15652D</t>
  </si>
  <si>
    <t>Chart Leacon Form B Design</t>
  </si>
  <si>
    <t>Consortia Integrated Services Limited</t>
  </si>
  <si>
    <t>M9334018V</t>
  </si>
  <si>
    <t>Annual Support Contract - 1st April 2023 to 31st March 2024 - including Telephone Support, Emergency Callout &amp; Health Check - Year 1</t>
  </si>
  <si>
    <t>BEP Project Package 66-2 : Group Motor Starter Cubicles (GMSC)</t>
  </si>
  <si>
    <t>P15338004M</t>
  </si>
  <si>
    <t>Supply of Spares</t>
  </si>
  <si>
    <t>Stadler Service AG</t>
  </si>
  <si>
    <t>R12862158C</t>
  </si>
  <si>
    <t>Repair of 1-off HSD4000 Part Number 205/0181 Serial Number 065</t>
  </si>
  <si>
    <t>R12862159C</t>
  </si>
  <si>
    <t>Repair of 1-off HSD4000 Part Number 205/0181 Serial Number 056</t>
  </si>
  <si>
    <t>C13133021V</t>
  </si>
  <si>
    <t>tmarston</t>
  </si>
  <si>
    <t>Thomas Marston</t>
  </si>
  <si>
    <t>jchan</t>
  </si>
  <si>
    <t>Jeff Chan</t>
  </si>
  <si>
    <t>echiou</t>
  </si>
  <si>
    <t>Emily Chiou</t>
  </si>
  <si>
    <t>mlaw</t>
  </si>
  <si>
    <t>Marie Law</t>
  </si>
  <si>
    <t>dprice</t>
  </si>
  <si>
    <t>Dean Price</t>
  </si>
  <si>
    <t>aparker</t>
  </si>
  <si>
    <t>Alex Parker</t>
  </si>
  <si>
    <t>C14907001F</t>
  </si>
  <si>
    <t>FAST Project Functional Safety support - ISBL and OSBL Scope</t>
  </si>
  <si>
    <t>C15669F</t>
  </si>
  <si>
    <t>HAZOP Study Group 2 - Brize Norton, Fairford &amp; Lakenheath</t>
  </si>
  <si>
    <t>C15515002G</t>
  </si>
  <si>
    <t>Agreement of Contract</t>
  </si>
  <si>
    <t>Altrad Babcock Limited</t>
  </si>
  <si>
    <t>3919873 - Supply of Mepal Biomethane Grid Entry Unit with Hardwired Interface (Similar to Deephams panel)</t>
  </si>
  <si>
    <t>C15660G</t>
  </si>
  <si>
    <t>Panel with FI Pressure Transmitters</t>
  </si>
  <si>
    <t>GI Systems</t>
  </si>
  <si>
    <t>C15675G</t>
  </si>
  <si>
    <t>ATEX Certified Junction Boxes (Revalidated)</t>
  </si>
  <si>
    <t>R&amp;M Electrical Group Limited</t>
  </si>
  <si>
    <t>C15651001M</t>
  </si>
  <si>
    <t>Class 378, Automatic Power Changeover</t>
  </si>
  <si>
    <t>C15655001M</t>
  </si>
  <si>
    <t>Tracklink III Readers for Irish Rail Project - Remaining Readers - 68 off</t>
  </si>
  <si>
    <t>C15661M</t>
  </si>
  <si>
    <t>DVD and TOPS</t>
  </si>
  <si>
    <t>C15671M</t>
  </si>
  <si>
    <t>Supply of 4 Beacon Tester/Programmers</t>
  </si>
  <si>
    <t>C15673M</t>
  </si>
  <si>
    <t>P15662M</t>
  </si>
  <si>
    <t>Supply of Tracklink Adaptors</t>
  </si>
  <si>
    <t>C15565002H</t>
  </si>
  <si>
    <t>Moved to AA033029/15 Upgrade of existing HIQuad/ELOP II Systems to HIQuad X/SILworX - Detailed Engineering</t>
  </si>
  <si>
    <t>T15565003H</t>
  </si>
  <si>
    <t>RTO Plant Associated Siteworks</t>
  </si>
  <si>
    <t>R11204116C</t>
  </si>
  <si>
    <t>Repair of 3x B743/2370 RUN BACK PROTECTION UNITS. 0596, 0593, 0591</t>
  </si>
  <si>
    <t>R12526421C</t>
  </si>
  <si>
    <t>Repair of 1-off DOO Camera Pod Black Part No 3EEC200008-3647 Serial No 104177108</t>
  </si>
  <si>
    <t>R12526424C</t>
  </si>
  <si>
    <t>Repair of 1 3EER400017-0880 CAMERA POD GREY. SN 10 4988 1 09</t>
  </si>
  <si>
    <t>R12526433C</t>
  </si>
  <si>
    <t>Repair of DOO Camera Pod Grey Type x1 S/N 103892108</t>
  </si>
  <si>
    <t>R13754122C</t>
  </si>
  <si>
    <t>Repair of 3x HSD 2300/026. ASDO READER V4.12 WITH ANTENNA. 0090, 0081, 0066</t>
  </si>
  <si>
    <t>W15173020C</t>
  </si>
  <si>
    <t>Repair of 1x HSD2300/025A. Steuergeraet RFID Leser: Tracklink III Reader (Internal antenna.) 1061. Snapped x2 plug</t>
  </si>
  <si>
    <t>I15665Z</t>
  </si>
  <si>
    <t>Rail Technical Consultancy</t>
  </si>
  <si>
    <t>C15672D</t>
  </si>
  <si>
    <t>Feltham Phase 5 SCADA</t>
  </si>
  <si>
    <t>C15433004S</t>
  </si>
  <si>
    <t>Sleights Screen Swap</t>
  </si>
  <si>
    <t>Infotec Ltd</t>
  </si>
  <si>
    <t>C15657S</t>
  </si>
  <si>
    <t>Survey  Works - Bromily Cross, Burnley Manchester Road, Chorley, Darwen and Leyland</t>
  </si>
  <si>
    <t>C15663S</t>
  </si>
  <si>
    <t>Moreton in Marsh - Temporary CCTV Solution to cover the Cycle Hub</t>
  </si>
  <si>
    <t>C10433006V</t>
  </si>
  <si>
    <t>C12292012V</t>
  </si>
  <si>
    <t>Site visit to supply and fit Vortex Cabinet Cooler</t>
  </si>
  <si>
    <t>FMT &amp; Offsites P1 Alarm system modifications</t>
  </si>
  <si>
    <t>Loan of F35 03 (16 week hire) + a further 16 weeks if required.</t>
  </si>
  <si>
    <t>C13944025V</t>
  </si>
  <si>
    <t>Modifications to Existing ESD</t>
  </si>
  <si>
    <t>Project Services and Miscellaneous Hardware + Site Visits</t>
  </si>
  <si>
    <t>Site visit to investigate fault F35 (3rd Visit)</t>
  </si>
  <si>
    <t>ControlEdge Block 20B tanker Loading - Annual Support Contract - 27th April 2023 - 26th April 2024, including Telephone Support, Emergency Callout and Health Check</t>
  </si>
  <si>
    <t>M6032019V</t>
  </si>
  <si>
    <t>INEOS FPS Ltd</t>
  </si>
  <si>
    <t>S15666V</t>
  </si>
  <si>
    <t>S15674V</t>
  </si>
  <si>
    <t>Provision For the Supply of Himax and Himatrix Product</t>
  </si>
  <si>
    <t>S9650096V</t>
  </si>
  <si>
    <t>M15080006V</t>
  </si>
  <si>
    <t>Annual Support Contract - 19th June 2023 - 30th June 2024, including Telephone Support, Emergency Callout &amp; Health Check. - FLOTTA</t>
  </si>
  <si>
    <t>tpusey</t>
  </si>
  <si>
    <t>Toby Pusey</t>
  </si>
  <si>
    <t>amiller</t>
  </si>
  <si>
    <t>Anthony Miller</t>
  </si>
  <si>
    <t>C15651002M</t>
  </si>
  <si>
    <t>C15673001M</t>
  </si>
  <si>
    <t>R13686024C</t>
  </si>
  <si>
    <t>Repair of 1x HSD 2300/025 SN 0315</t>
  </si>
  <si>
    <t>R13686025C</t>
  </si>
  <si>
    <t>Repair of 1x HSD 2300/025 0109</t>
  </si>
  <si>
    <t>C15265001D</t>
  </si>
  <si>
    <t>Poplar &amp; Stephenson St SCADA Works</t>
  </si>
  <si>
    <t>Enable Infrastructure</t>
  </si>
  <si>
    <t>Radio Alarms Project - Raj 03/07: Awaiting DLR to complete the works</t>
  </si>
  <si>
    <t>RMS Junction depiction change - Raj 03/07: Awaiting date for install.</t>
  </si>
  <si>
    <t>M12790019V</t>
  </si>
  <si>
    <t>Annual Support Contract - 1st July 2023 to 30th June 2024, including Telephone Support, Emergency Callout &amp; Health Check.</t>
  </si>
  <si>
    <t>Greenergy Terminals Ltd</t>
  </si>
  <si>
    <t>scoubrough</t>
  </si>
  <si>
    <t>Stephen Coubrough</t>
  </si>
  <si>
    <t>edvhaleva</t>
  </si>
  <si>
    <t>Elizabeta Dvhaleva</t>
  </si>
  <si>
    <t>Finance &amp; HR</t>
  </si>
  <si>
    <t>aabduljabar</t>
  </si>
  <si>
    <t>Abdulkadir Abduljabar</t>
  </si>
  <si>
    <t>ssubhra</t>
  </si>
  <si>
    <t>Sanjeev Subhra</t>
  </si>
  <si>
    <t>C15685001F</t>
  </si>
  <si>
    <t>Functional Safety Services</t>
  </si>
  <si>
    <t>CBRE Global Workplace Solutions</t>
  </si>
  <si>
    <t>C15693B</t>
  </si>
  <si>
    <t>Stage 1 - Final Contract Sum</t>
  </si>
  <si>
    <t>SCS Railways</t>
  </si>
  <si>
    <t>C15586002M</t>
  </si>
  <si>
    <t>42 Tracklink III Beacons</t>
  </si>
  <si>
    <t>C15586003M</t>
  </si>
  <si>
    <t>Supply and programming of 2 Tracklink 3 Beacons. And Updating of the station beacon database.</t>
  </si>
  <si>
    <t>CoMech Metrology Ltd</t>
  </si>
  <si>
    <t>C15687M</t>
  </si>
  <si>
    <t>C14144012H</t>
  </si>
  <si>
    <t>Crude Tanks LHCO - OFFSITE CR-ESD001X SIS</t>
  </si>
  <si>
    <t>T14144013H</t>
  </si>
  <si>
    <t>Crude Tank Overfill Mitigation ESD System C14144 - Associated Siteworks</t>
  </si>
  <si>
    <t>R10943173C</t>
  </si>
  <si>
    <t>Repair of 1x HSD 2000/007. SN: A0079</t>
  </si>
  <si>
    <t>R10943174C</t>
  </si>
  <si>
    <t>Repair of 1x HSD 2000/007. SN A0172</t>
  </si>
  <si>
    <t>Repair of 1-off DOO Camera Pod grey Part No 3EER400017-0880 Serial No 1011535113</t>
  </si>
  <si>
    <t>R12526425C</t>
  </si>
  <si>
    <t>Repair of 1x 3EER4000017-0880 CAMERA POD GREY SN 10 4823 1 09</t>
  </si>
  <si>
    <t>R12526426C</t>
  </si>
  <si>
    <t>Repair of 1x 3EER4000017-0880 CAMERA POD GREY SN 10 4434 1 08</t>
  </si>
  <si>
    <t>R12526427C</t>
  </si>
  <si>
    <t>Repair of 2x 3EER4000017-0880 CAMERA POD GREY. Serial Numbers: 10 5194 1 09, 10 4126 1 08</t>
  </si>
  <si>
    <t>R12526428C</t>
  </si>
  <si>
    <t>Repair of 2x 3EER4000017-0880 CAMERA POD GREY. SN: 10 4180 1 08, 10 5236 1 09. and Repair of 1x 3EER4000017-0877 CAMERA POD YELLOW. SN:  10 5121 1 09</t>
  </si>
  <si>
    <t>R12526430C</t>
  </si>
  <si>
    <t>Repair of 1x 3EER4000017-0877 CAMERA POD YELLOW SN 10 4415 1 08</t>
  </si>
  <si>
    <t>R12526431C</t>
  </si>
  <si>
    <t>Reapir of 2x 3EER4000017-0880 CAMERA POD GREY. SN: 10 6910 1 10,  10 4860 1 09</t>
  </si>
  <si>
    <t>R12526432C</t>
  </si>
  <si>
    <t>Refurbishment of 3x DOO Cameras</t>
  </si>
  <si>
    <t>R12526434C</t>
  </si>
  <si>
    <t>Repair of 1x 3EEC200008-3647 CAMERA POD BLACK. SN 10 12976 1 14</t>
  </si>
  <si>
    <t>R12526435C</t>
  </si>
  <si>
    <t>Repair of 1x 3EEC200008-3647 CAMERA POD BLACK. SN: 10 9164 1 12. 1x 3EER4000017-0877 CAMERA POD YELLOW. SN: 10 4001 1 08. and 2x 3EER4000017-0880 CAMERA POD GREY. SN: 10 5235 1 09, 10 4941 1 09</t>
  </si>
  <si>
    <t>R12526436C</t>
  </si>
  <si>
    <t>Repair of 1x 3EER400017-877 CAMERA POD YELLOW. SN: 10 4108 1 08. 3x 3EER400017-0880 CAMERA POD GREY. SN 10 5129 1 09, 10 14175 1 15, 10 27837 1 21</t>
  </si>
  <si>
    <t>R12526437C</t>
  </si>
  <si>
    <t>Repair of 3x 3EER400017-0880 CAMERA POD GREY. SN: 10 14801 1 15, 10 9685 1 12, 10 4138 1 08.</t>
  </si>
  <si>
    <t>R12526438C</t>
  </si>
  <si>
    <t>Repair of 1x 3EEC200008-3647 CAMERA POD BLACK. SN: 10 4127 1 08. Repair of 1x 3EER400017-0880 CAMERA POD GREY. SN: 10 11541 1 13</t>
  </si>
  <si>
    <t>R12526439C</t>
  </si>
  <si>
    <t>Repair of 1x 3EER00017-0880 CAMERA POD GREY. SN 10 4183 1 08</t>
  </si>
  <si>
    <t>R12526440C</t>
  </si>
  <si>
    <t>Repair of 1x 3EEC20008-3647 CAMERA POD BLACK. SN: 10 5179 1 09</t>
  </si>
  <si>
    <t>R12526441C</t>
  </si>
  <si>
    <t>Repair of 1x 3EER00017-0880 CAMERA POD GREY. SN: 10 5191 1 09</t>
  </si>
  <si>
    <t>R12526442C</t>
  </si>
  <si>
    <t>Repair of 1x 3EER400017-0880 CAMERA POD GREY. SN: 10 5435 1 09.. And 1x of 3EER400017-0880 CAMERA POD GREY SN: 10 8140 1 11</t>
  </si>
  <si>
    <t>R12862160C</t>
  </si>
  <si>
    <t>Repair of 1x HSD 4000 SN 0341</t>
  </si>
  <si>
    <t>R12862161C</t>
  </si>
  <si>
    <t>Repair of 1x HSD 4000 SN 0293</t>
  </si>
  <si>
    <t>R12862162C</t>
  </si>
  <si>
    <t>Repair of 1x HSD 4000 SN 0146</t>
  </si>
  <si>
    <t>R12862163C</t>
  </si>
  <si>
    <t>Repair of 1x HSD 4000 SN 0386</t>
  </si>
  <si>
    <t>R12862164C</t>
  </si>
  <si>
    <t>Repair of 1x HSD 4000 SN: 0376</t>
  </si>
  <si>
    <t>R12862165C</t>
  </si>
  <si>
    <t>Repair of 1x HSD 2300/009 SN 0281</t>
  </si>
  <si>
    <t>R12862166C</t>
  </si>
  <si>
    <t>Repair of 1x HSD 2300/009 SN 0199</t>
  </si>
  <si>
    <t>R12862167C</t>
  </si>
  <si>
    <t>Repair of 1x HSD 4000 SN 114</t>
  </si>
  <si>
    <t>R13686026C</t>
  </si>
  <si>
    <t>Repair of 1-off HSD2300/025 Serial Number 0282</t>
  </si>
  <si>
    <t>R13686027C</t>
  </si>
  <si>
    <t>Repair of 1x HSD 2300/025. SN TEST MTM 003</t>
  </si>
  <si>
    <t>R14715045C</t>
  </si>
  <si>
    <t>Repair of 1x HSD 2300/025A. SD: 00105</t>
  </si>
  <si>
    <t>R14824049C</t>
  </si>
  <si>
    <t>R14996025C</t>
  </si>
  <si>
    <t>Repair of 1x HSD 2300/025A SN 0804</t>
  </si>
  <si>
    <t>R15053004C</t>
  </si>
  <si>
    <t>Repair of 1x HSD 2300/025A SN 0828</t>
  </si>
  <si>
    <t>R15119003C</t>
  </si>
  <si>
    <t>Repair of 1x HSD 2000/046/01. SN: C15119001R-01</t>
  </si>
  <si>
    <t>R15173022C</t>
  </si>
  <si>
    <t>Repair of 1-off HSD2300/025A Serial Number 1032</t>
  </si>
  <si>
    <t>W15338005C</t>
  </si>
  <si>
    <t>Warranty repair 1-off HSD2300/025A Serial Number 1061</t>
  </si>
  <si>
    <t>Transit/Selnet R&amp;D works general</t>
  </si>
  <si>
    <t>Development of module software for Alstom APCO &amp; SELnet and tools</t>
  </si>
  <si>
    <t>Development of non standard DVD &amp; TOPs SW for TfGM including tools</t>
  </si>
  <si>
    <t>I15684Z</t>
  </si>
  <si>
    <t>Repairs/New Build Tracker</t>
  </si>
  <si>
    <t>C15682D</t>
  </si>
  <si>
    <t>Site Investigation Services</t>
  </si>
  <si>
    <t>Nottingham Tram</t>
  </si>
  <si>
    <t>C15688D</t>
  </si>
  <si>
    <t>iDCCB Implementation - Southwark</t>
  </si>
  <si>
    <t>C15689D</t>
  </si>
  <si>
    <t>Wessex RTU - Retrofit Package July23 Submission Inc Spares</t>
  </si>
  <si>
    <t>C15679S</t>
  </si>
  <si>
    <t>Chester Station</t>
  </si>
  <si>
    <t>MPH Construction Ltd</t>
  </si>
  <si>
    <t>C15691S</t>
  </si>
  <si>
    <t>Dawlish - GRIP6-8 - Materials Only</t>
  </si>
  <si>
    <t>C13540039V</t>
  </si>
  <si>
    <t>Breagh SCADA Workstation Upgrade</t>
  </si>
  <si>
    <t>C15550001V</t>
  </si>
  <si>
    <t>Breagh Fire &amp; Gas System modifications</t>
  </si>
  <si>
    <t>ExxonMobil ESSO Petroleum Company Ltd (EURO ACCOUNT)</t>
  </si>
  <si>
    <t>M11068035V</t>
  </si>
  <si>
    <t>Annual Support Contract - 1st January 2023 to 31st December 2023, including Telephone Support, Emergency Callout &amp; Health Check. - 1 Year North Tees</t>
  </si>
  <si>
    <t>M11185019V</t>
  </si>
  <si>
    <t>Annual Support Contract - 1st April 2023 to 31st March 2024 including Telephone Support, Emergency Callout &amp; Health Check. - 1 Year</t>
  </si>
  <si>
    <t>M13711029V</t>
  </si>
  <si>
    <t>Annual Support Contract - 1st July 2023 to 30th June 2024, including Telephone Support, Emergency Callout &amp; Health Check. 1 Year</t>
  </si>
  <si>
    <t>S13540040V</t>
  </si>
  <si>
    <t>Recommended Equipment after Health Check</t>
  </si>
  <si>
    <t>United Corporation Ltd.</t>
  </si>
  <si>
    <t>S15690V</t>
  </si>
  <si>
    <t>EAO 2 position maintained keyswitch - Mounting tool</t>
  </si>
  <si>
    <t>C15696M</t>
  </si>
  <si>
    <t>R10943175C</t>
  </si>
  <si>
    <t>Repair of 1x HSD 2000/007 SN A0132</t>
  </si>
  <si>
    <t>R12526443C</t>
  </si>
  <si>
    <t>Repair of 1x 3EER200008-3647 CAMERA POD BLACK. SN 10 4830 1 09</t>
  </si>
  <si>
    <t>R12526444C</t>
  </si>
  <si>
    <t>Repair of 1x 3EER400017-0880 CAMERA POD GREY SN 10 5231 1 09</t>
  </si>
  <si>
    <t>R12526445C</t>
  </si>
  <si>
    <t>Repair of 1x 3EER400017-0877 SN 10 9690 1 12</t>
  </si>
  <si>
    <t>R13686028C</t>
  </si>
  <si>
    <t>Repair of 1x HSD 2300/025 SN 0330</t>
  </si>
  <si>
    <t>R13790047C</t>
  </si>
  <si>
    <t>Repair of 1x HSD 2000/026 SN 0299</t>
  </si>
  <si>
    <t>R14715046C</t>
  </si>
  <si>
    <t>Repair of 1x HSD 2300/025A SN 00071</t>
  </si>
  <si>
    <t>R14732047C</t>
  </si>
  <si>
    <t>Reapir of 1x HSD 2300/009AF Serial Number 0011</t>
  </si>
  <si>
    <t>R15071004C</t>
  </si>
  <si>
    <t>Repair of 1x HSD 2300/025A 24V SN 0155</t>
  </si>
  <si>
    <t>W15433005S</t>
  </si>
  <si>
    <t>C15433S warranty work</t>
  </si>
  <si>
    <t>Lanxess Solutions UK</t>
  </si>
  <si>
    <t>C15660001G</t>
  </si>
  <si>
    <t>Pressure Box Assembly - suitable for mounting on boom arm (boom arm by others)</t>
  </si>
  <si>
    <t>R14824050C</t>
  </si>
  <si>
    <t>Repair of 1x HSD 2300/025A AVSW01. SN 149</t>
  </si>
  <si>
    <t>Warranty repair of 1-off SC1001F ASDO Controller Serial Number 233770</t>
  </si>
  <si>
    <t>W15173023C</t>
  </si>
  <si>
    <t>S15370005V</t>
  </si>
  <si>
    <t>Operational Spares</t>
  </si>
  <si>
    <t>S15697V</t>
  </si>
  <si>
    <t>Provision for the suppy of mixed Hima equipment</t>
  </si>
  <si>
    <t>jwoods</t>
  </si>
  <si>
    <t>Jack Woods</t>
  </si>
  <si>
    <t>jcowburn</t>
  </si>
  <si>
    <t>Julie Cowburn</t>
  </si>
  <si>
    <t>C15704F</t>
  </si>
  <si>
    <t>LOPA</t>
  </si>
  <si>
    <t>VPI - Damhead Creek</t>
  </si>
  <si>
    <t>Total Energies E&amp;P UK Ltd</t>
  </si>
  <si>
    <t>C15477004M</t>
  </si>
  <si>
    <t>Programming of Blank Beacons and Creating HEX Codes</t>
  </si>
  <si>
    <t>Calibration of Sella Controls PIBS Test Transmitter (Serial_x000D_
No. BSL1152)</t>
  </si>
  <si>
    <t>C15080007H</t>
  </si>
  <si>
    <t>Re-tagging to allow replacement MOV’s for Fail Closed Functionality</t>
  </si>
  <si>
    <t>Fire &amp; Gas detection and Suppression System</t>
  </si>
  <si>
    <t>M15708C</t>
  </si>
  <si>
    <t>3 Year PPOS Maintainance with Optional 2 Year Extension</t>
  </si>
  <si>
    <t>Tramtrack Croydon Ltd</t>
  </si>
  <si>
    <t>P15706C</t>
  </si>
  <si>
    <t>10 off 016-08-083  O RING 172mm x 3mm NBR 50</t>
  </si>
  <si>
    <t>R13686029C</t>
  </si>
  <si>
    <t>Repair of 1-off HSD2300/025 Serial Number 0298</t>
  </si>
  <si>
    <t>R14732048C</t>
  </si>
  <si>
    <t>Repair of 1-off HSD 2300/009AF Serial Number 0090</t>
  </si>
  <si>
    <t>R14789018C</t>
  </si>
  <si>
    <t>Repair of 1-off HSD2300/025AA (EKE Part No: A4054-A00) Serial Number 0018</t>
  </si>
  <si>
    <t>W15173024C</t>
  </si>
  <si>
    <t>Warranty repair 1-off CVB Card Serial Number 234856</t>
  </si>
  <si>
    <t>W15477003C</t>
  </si>
  <si>
    <t>Return of 2 beacons for repair</t>
  </si>
  <si>
    <t>C15701D</t>
  </si>
  <si>
    <t>Loughborough Junction GRIP5 Design</t>
  </si>
  <si>
    <t>C15306002V</t>
  </si>
  <si>
    <t>Additional Trip Logic to be added (outage / implementation date TBC)</t>
  </si>
  <si>
    <t>I13546014V</t>
  </si>
  <si>
    <t>Track modifications to software.  Mods covered by P.O. from ExxonMobil for job no. C13133021V_x000D_
Software reviews only</t>
  </si>
  <si>
    <t>M13909013V</t>
  </si>
  <si>
    <t>Year 1 of 3 Year  Support Contract -  1st June 2023 to 31st May 2024, including Telephone Support, Emergency Callout.</t>
  </si>
  <si>
    <t>M13909014V</t>
  </si>
  <si>
    <t>Year 2 of 3 Year Support Contract -  1st June 2024 to 31st May 2025, including Telephone Support, Emergency Callout.</t>
  </si>
  <si>
    <t>M13909015V</t>
  </si>
  <si>
    <t>Year 3 of 3 Year  Support Contract -  1st June 2025 to 31st May 2026, including Telephone Support, Emergency Callout.</t>
  </si>
  <si>
    <t>M15699V</t>
  </si>
  <si>
    <t>Annual Support Contract - 1st October 2023 to 30th September 2024 - including Telephone Support, Emergency Callout &amp; Health Check</t>
  </si>
  <si>
    <t>Synthomer (UK) Limited</t>
  </si>
  <si>
    <t>S15698V</t>
  </si>
  <si>
    <t>HIMA X-OTS Licenses</t>
  </si>
  <si>
    <t>S15703V</t>
  </si>
  <si>
    <t>Provision for the supply of :2 OFF IO CARD, HIMA, HIMATRIX F3 AIO 8/4 01 REGEN_x000D_
2 OFF IO CARD, HIMA, HIMATRIX F2 DO 16 01 REGEN_x000D_
2 OFF IO CARD, HIMA, HIMATRIX F3 DIO 20/8 02 REGREN</t>
  </si>
  <si>
    <t>Storengy UK Ltd</t>
  </si>
  <si>
    <t>pshiel</t>
  </si>
  <si>
    <t>Philip Shiel</t>
  </si>
  <si>
    <t>C15432003H</t>
  </si>
  <si>
    <t>R12526446C</t>
  </si>
  <si>
    <t>Camera Module Upgrade For PO:4501740102</t>
  </si>
  <si>
    <t>R14824051C</t>
  </si>
  <si>
    <t>Repair of 1x HSD 2300/025A 3EER400022-9199 SN 0211</t>
  </si>
  <si>
    <t>R14824052C</t>
  </si>
  <si>
    <t>C15709D</t>
  </si>
  <si>
    <t>Supply and Commission of Continental Junction RTU - Design</t>
  </si>
  <si>
    <t>W15440002D</t>
  </si>
  <si>
    <t>MT700 Cancel command implementation</t>
  </si>
  <si>
    <t>W15440003D</t>
  </si>
  <si>
    <t>HSD10000 test equipment</t>
  </si>
  <si>
    <t>J5079 - TGPP ESD Modifications - (Excluding major Planar 4 Hardware, previously ordered)  See job no. C14992007V</t>
  </si>
  <si>
    <t>M12954032V</t>
  </si>
  <si>
    <t>M12954033V</t>
  </si>
  <si>
    <t>M12954034V</t>
  </si>
  <si>
    <t>S15711V</t>
  </si>
  <si>
    <t>Moved from AA033612/2 HIMA Spares - 2 off F3237</t>
  </si>
  <si>
    <t>Year 1 of 3 year Annual Support Contract - 1st January 2023 to 31st December 2025, including Telephone Support, Emergency Callout &amp; Health Check. 3 Year</t>
  </si>
  <si>
    <t>Year 2 of 3 Year Annual Support Contract - 1st January 2024 to 31st December 2024, including Telephone Support, Emergency Callout &amp; Health Check.</t>
  </si>
  <si>
    <t>Year 3 of 3 Year Annual Support Contract - 1st January 2023 to 31st December 2025, including Telephone Support, Emergency Callout &amp; Health Check. 3 Year</t>
  </si>
  <si>
    <t>C15712H</t>
  </si>
  <si>
    <t>Replacement of existing ESD System</t>
  </si>
  <si>
    <t>T15712001H</t>
  </si>
  <si>
    <t>Replacement of existing ESD System site works</t>
  </si>
  <si>
    <t>C15714M</t>
  </si>
  <si>
    <t>TLIII Reader Salt Spray and Cataplasm Testing 2023</t>
  </si>
  <si>
    <t>C15715M</t>
  </si>
  <si>
    <t>Supply of HSD2300/025A</t>
  </si>
  <si>
    <t>Response Safety</t>
  </si>
  <si>
    <t>C15152001H</t>
  </si>
  <si>
    <t>Reverse Engineering for Power Former 2 R2-C201</t>
  </si>
  <si>
    <t>C15713H</t>
  </si>
  <si>
    <t>OPPS Logic Solver</t>
  </si>
  <si>
    <t>Wood Group PSN Limited</t>
  </si>
  <si>
    <t>T15152002H</t>
  </si>
  <si>
    <t>Survey of Existing Power Former 2 R2-C201 Planar F System (SC Ref: C5260H)</t>
  </si>
  <si>
    <t>R12862168C</t>
  </si>
  <si>
    <t>Repair of 1x HSD 2300/009 SN 00207</t>
  </si>
  <si>
    <t>R12862169C</t>
  </si>
  <si>
    <t>Repair of 1x HSD 2300/009 SN 00055</t>
  </si>
  <si>
    <t>R12862170C</t>
  </si>
  <si>
    <t>Repair of 1x HSD 2300/009 SN 00093</t>
  </si>
  <si>
    <t>Repair of 1x HSD 2300/025A Part Number 3EER400022-9199 SN 0187</t>
  </si>
  <si>
    <t>R14824053C</t>
  </si>
  <si>
    <t>Repair of 1x HSD 2300/025A Alstom PN 3EER400022-9199 SN 00151</t>
  </si>
  <si>
    <t>R14824054C</t>
  </si>
  <si>
    <t>Repair of 1x HSD 2300/025A SN 0199. Alstom Part Number: 3EER400022-9199</t>
  </si>
  <si>
    <t>I2005019V</t>
  </si>
  <si>
    <t>Training - Andrew Shannon</t>
  </si>
  <si>
    <t>R13540041V</t>
  </si>
  <si>
    <t>Repair of 1-off F8650X Serial Number 01.246998.019</t>
  </si>
  <si>
    <t>ashannon</t>
  </si>
  <si>
    <t>Andrew Shannon</t>
  </si>
  <si>
    <t>C14996M</t>
  </si>
  <si>
    <t>Tracklink III for Class 701 South Western Railway - 30 x 5-car and 60 x 10-car trains</t>
  </si>
  <si>
    <t>C15723M</t>
  </si>
  <si>
    <t>Supply of Tracklink III Beacon - 1M Gauge</t>
  </si>
  <si>
    <t>G.M.G. Suministros Industriales, S.A.</t>
  </si>
  <si>
    <t>C15080008H</t>
  </si>
  <si>
    <t>Changes to incorporate Crude Loading Arm</t>
  </si>
  <si>
    <t>C15717H</t>
  </si>
  <si>
    <t>S15721H</t>
  </si>
  <si>
    <t>HIMatrix and SILworX - equipment for EPICS Interface development</t>
  </si>
  <si>
    <t>Diamond Light Source Limited</t>
  </si>
  <si>
    <t>R11204117C</t>
  </si>
  <si>
    <t>Repair of 1x RUN BACK PROTECTION UNIT C11204R/0605</t>
  </si>
  <si>
    <t>R11204118C</t>
  </si>
  <si>
    <t>Repair of 1x RUN BACK PROTECTION UNIT C11204R/0528</t>
  </si>
  <si>
    <t>R11204119C</t>
  </si>
  <si>
    <t>Repair of 1x RUN BACK PROTECTION UNIT C11204R/0535</t>
  </si>
  <si>
    <t>R12526447C</t>
  </si>
  <si>
    <t>Repair of 2x 3EER400017-0880 CAMERA POD GREY. SN 10 9676 1 12 and 10 5445 1 09</t>
  </si>
  <si>
    <t>R12526448C</t>
  </si>
  <si>
    <t>Repair of 1x 3EEC200008-3647 CAMERA POD BLACK SN 10 10404 1 13 and 1x 3EER400017-0877 CAMERA POD YELLOW 10 4200 1 08</t>
  </si>
  <si>
    <t>R12526449C</t>
  </si>
  <si>
    <t>Repair of 1-off 3EER400017-0877 CAMERA POD YELLOW SN 10 4969 1 09</t>
  </si>
  <si>
    <t>R12526450C</t>
  </si>
  <si>
    <t>Repair of 1x 3EER400017-0880 CAMERA POD GREY SN 10 14025 1 14</t>
  </si>
  <si>
    <t>R12526451C</t>
  </si>
  <si>
    <t>Repair of 1x 3EER400017-0880 CAMERA POD GREY SN 10 5229 1 09</t>
  </si>
  <si>
    <t>R12526452C</t>
  </si>
  <si>
    <t>Repair of 1x 3EEC200008-3647 CAMERA POD BLACK SN 10 4821 1 09 and 1x 3EER400017-0880 CAMERA POD GREY SN 10 27330 1 21</t>
  </si>
  <si>
    <t>R13754124C</t>
  </si>
  <si>
    <t>Repair of 2x HSD 2300/026 SN 0059 and 0171</t>
  </si>
  <si>
    <t>R14789019C</t>
  </si>
  <si>
    <t>Repair of 1x RFID Tag Reader MOD Strike #1 SW Ver:V6 PN 3EER400022-9199 SN 0148</t>
  </si>
  <si>
    <t>R15411004C</t>
  </si>
  <si>
    <t>Warranty Repair of T-ASDO CONTROL RACK 350 DMOS SC1003/OSS01070. SN 236783</t>
  </si>
  <si>
    <t>W15651004C</t>
  </si>
  <si>
    <t>Warranty repair of 1-off PSV1133C Serial Number 4930213820549438</t>
  </si>
  <si>
    <t>C15267002D</t>
  </si>
  <si>
    <t>BES 3 Position Manual Isolator update</t>
  </si>
  <si>
    <t>Poplar RTU (LV3 Project) SCADA Works.</t>
  </si>
  <si>
    <t>C15682001D</t>
  </si>
  <si>
    <t>Provision of Engineering Support Services</t>
  </si>
  <si>
    <t>C15719D</t>
  </si>
  <si>
    <t>Tracklink P2P</t>
  </si>
  <si>
    <t>C15691001S</t>
  </si>
  <si>
    <t>10/10/2023 TVM Fault Finding &amp; Temporary Fix plus Revisit required for Permanent Fix</t>
  </si>
  <si>
    <t>C14043006V</t>
  </si>
  <si>
    <t>DBR Modifications - C14043H</t>
  </si>
  <si>
    <t>C14148004V</t>
  </si>
  <si>
    <t>Programmed Spare F35 034</t>
  </si>
  <si>
    <t>C15491001V</t>
  </si>
  <si>
    <t>C6032020V</t>
  </si>
  <si>
    <t>1 Day System Health Check &amp; Site Survey</t>
  </si>
  <si>
    <t>R9411060V</t>
  </si>
  <si>
    <t>Repair of 1-off F3236 Serial Number 03.800129.244</t>
  </si>
  <si>
    <t>S15716V</t>
  </si>
  <si>
    <t>Vollert Push Roller &amp; Washer</t>
  </si>
  <si>
    <t>S15720V</t>
  </si>
  <si>
    <t>6 x Muller Temperature Sensor PT-100</t>
  </si>
  <si>
    <t>Atlantic Refrigeration Ltd</t>
  </si>
  <si>
    <t>S15722V</t>
  </si>
  <si>
    <t>HIMA Spares - F6217 &amp; cable plug</t>
  </si>
  <si>
    <t>S15724V</t>
  </si>
  <si>
    <t>HIMA Spares - 3 off F7126</t>
  </si>
  <si>
    <t>C15726F</t>
  </si>
  <si>
    <t>C13813010H</t>
  </si>
  <si>
    <t>HMI Upgrade on 3 x Planar4 HIPS Systems</t>
  </si>
  <si>
    <t>C15727H</t>
  </si>
  <si>
    <t>HIQuad X upgrade</t>
  </si>
  <si>
    <t>C15728H</t>
  </si>
  <si>
    <t>P4 module replacement</t>
  </si>
  <si>
    <t>T13813011H</t>
  </si>
  <si>
    <t>T15727001H</t>
  </si>
  <si>
    <t>Assosiated Site Works</t>
  </si>
  <si>
    <t>P12526453C</t>
  </si>
  <si>
    <t>3EEC200009-0112 DOO Camera Pod Grey NLR/ELR</t>
  </si>
  <si>
    <t>R10943176C</t>
  </si>
  <si>
    <t>Repair of 1x HSD 2000/007 SN A0119</t>
  </si>
  <si>
    <t>R13754125C</t>
  </si>
  <si>
    <t>Repair of 1x HSD 2300/026 SN 0058</t>
  </si>
  <si>
    <t>R13754126C</t>
  </si>
  <si>
    <t>Repair of 1x HSD 2300/026 SN 0016</t>
  </si>
  <si>
    <t>R13790048C</t>
  </si>
  <si>
    <t>Repair of 1x HSD 2000/026 SN 0353</t>
  </si>
  <si>
    <t>Repair of 3x HSD2300/25AA SN 102, 005, 007</t>
  </si>
  <si>
    <t>R14789020C</t>
  </si>
  <si>
    <t>Repair of 1x HSD 2300/009AF SN 0052</t>
  </si>
  <si>
    <t>R15173025C</t>
  </si>
  <si>
    <t>Repair of 1x HSD 2300/025A SN 1026</t>
  </si>
  <si>
    <t>C12790020V</t>
  </si>
  <si>
    <t>Modifications to Tank 007 ROSOV</t>
  </si>
  <si>
    <t>C13439019V</t>
  </si>
  <si>
    <t>C15237001V</t>
  </si>
  <si>
    <t>Modification to SIL35007 on A300 ESD system</t>
  </si>
  <si>
    <t>S15725V</t>
  </si>
  <si>
    <t>HIMA Spare - 1 off F4204</t>
  </si>
  <si>
    <t>I15729Z</t>
  </si>
  <si>
    <t>Consultancy to HIMA Australia on Rail Control/Signalling capabilities</t>
  </si>
  <si>
    <t>I15730Z</t>
  </si>
  <si>
    <t>Himalaya project</t>
  </si>
  <si>
    <t>R10943178C</t>
  </si>
  <si>
    <t>Repair of 1-off HSD2000/007 Serial Number 0343 and 1-off HSD2000/026 Serial Number 0344</t>
  </si>
  <si>
    <t>R15173026C</t>
  </si>
  <si>
    <t>Repair of 1-off SC1001F 12377079 Serial Number 231267</t>
  </si>
  <si>
    <t>R15173027C</t>
  </si>
  <si>
    <t>Repair of 1-off CVB2456B Serial Number 758408</t>
  </si>
  <si>
    <t>Return of 1-off HSD2000/0007 Tracklink II Antenna Serial Number A0165</t>
  </si>
  <si>
    <t>S15731V</t>
  </si>
  <si>
    <t>HIMA Spare - 1 off Power Supply</t>
  </si>
  <si>
    <t>C15507001M</t>
  </si>
  <si>
    <t>Tracklink III Test Tags</t>
  </si>
  <si>
    <t>C15201001F</t>
  </si>
  <si>
    <t>FSA - Stage 3</t>
  </si>
  <si>
    <t>C15735F</t>
  </si>
  <si>
    <t>Harbour Energy</t>
  </si>
  <si>
    <t>I15737A</t>
  </si>
  <si>
    <t>System Cabinets Hardware, Project Management, Build and Site Services</t>
  </si>
  <si>
    <t>C15502001M</t>
  </si>
  <si>
    <t>Tracklink III Beacons for MTM Excluding Programming</t>
  </si>
  <si>
    <t>Metro Trains Melbourne</t>
  </si>
  <si>
    <t>C15734H</t>
  </si>
  <si>
    <t>BPCS (Siemens) - ESD (HIMax) Systems - SCADA (Iconics)</t>
  </si>
  <si>
    <t>T15277012H</t>
  </si>
  <si>
    <t>Onsite Software Migration of Honeywell Experion LX v. 511.4 to v. 511.5</t>
  </si>
  <si>
    <t>P12526454C</t>
  </si>
  <si>
    <t>Quotation for 8x Camera POD with ISX017 Module</t>
  </si>
  <si>
    <t>C15267003D</t>
  </si>
  <si>
    <t>NS Accelerated works for C4P Work</t>
  </si>
  <si>
    <t>C15732S</t>
  </si>
  <si>
    <t>GRIP5 Telecoms Design for the Irlam AfA Scheme</t>
  </si>
  <si>
    <t>S15490004V</t>
  </si>
  <si>
    <t>Replacement F60 DIO 24/16 01 - C15490V</t>
  </si>
  <si>
    <t>S15733V</t>
  </si>
  <si>
    <t>Omron &amp; Pro-plan spares</t>
  </si>
  <si>
    <t>S15736V</t>
  </si>
  <si>
    <t>15 off MTL5501-SR - replacement for MTL5113P</t>
  </si>
  <si>
    <t>Repsol Resources UK Limited</t>
  </si>
  <si>
    <t>C15313003M</t>
  </si>
  <si>
    <t>2x 1 day Tracklink III training in Martorell</t>
  </si>
  <si>
    <t>C15477005M</t>
  </si>
  <si>
    <t>Supply of 16  E-Clip Beacons</t>
  </si>
  <si>
    <t>C14502009H</t>
  </si>
  <si>
    <t>C15187006H</t>
  </si>
  <si>
    <t>C15739H</t>
  </si>
  <si>
    <t>Local Control Panels - FAST</t>
  </si>
  <si>
    <t>P15740C</t>
  </si>
  <si>
    <t>C11590013V</t>
  </si>
  <si>
    <t>Additional Plant based minor updates for SIS01_Rev 1</t>
  </si>
  <si>
    <t>Runcorn MCP Limited</t>
  </si>
  <si>
    <t>C15738V</t>
  </si>
  <si>
    <t>Installation and Commisssioning Support for HIMA Germany</t>
  </si>
  <si>
    <t>Lanxess Urethanes UK Ltd</t>
  </si>
  <si>
    <t>afayle</t>
  </si>
  <si>
    <t>Anthony Fayle</t>
  </si>
  <si>
    <t>Park House SIS</t>
  </si>
  <si>
    <t>T15717001H</t>
  </si>
  <si>
    <t>Park House SIS - Site Works</t>
  </si>
  <si>
    <t>R12526455C</t>
  </si>
  <si>
    <t>Repair of 1x 3EER400017-0880 SN 10 4494 1 08</t>
  </si>
  <si>
    <t>R12526456C</t>
  </si>
  <si>
    <t>Repair of 1x 3EER400017-0880 CAMERA POD GREY SN 10 5190 1 09</t>
  </si>
  <si>
    <t>R12526457C</t>
  </si>
  <si>
    <t>Repair of 1x 3EER400017-0877 CAMERA POD YELLOW SN 10 4106 1 08</t>
  </si>
  <si>
    <t>R12526458C</t>
  </si>
  <si>
    <t>Repair of 1x 3EER400017-0877 CAMERA POD YELLOW SN 10 4862 1 09</t>
  </si>
  <si>
    <t>R12526459C</t>
  </si>
  <si>
    <t>Repair of 1x 3EER400017-0880 CAMERA POD GREY SN 10 4833 1 09</t>
  </si>
  <si>
    <t>R12526460C</t>
  </si>
  <si>
    <t>Repair of 1x 3EER400017-0880 CAMERA POD GREY SN 10 4332 1 08</t>
  </si>
  <si>
    <t>R12526461C</t>
  </si>
  <si>
    <t>Repair of 1x 3EER400017-0880 CAMERA POD GREY SN 10 11548 1 13</t>
  </si>
  <si>
    <t>R12526462C</t>
  </si>
  <si>
    <t>Repair of 1x 3EER400017-0877 CAMERA POD YELLOW SN 10 5932 1 10</t>
  </si>
  <si>
    <t>R12862172C</t>
  </si>
  <si>
    <t>Repair of 1x HSD 4000 SN 00293</t>
  </si>
  <si>
    <t>R12862173C</t>
  </si>
  <si>
    <t>Repair of 1x HSD 4000 SN 00364</t>
  </si>
  <si>
    <t>R12862174C</t>
  </si>
  <si>
    <t>Repair of 1x HSD 2300/009 SN 00186</t>
  </si>
  <si>
    <t>R12862175C</t>
  </si>
  <si>
    <t>Repair of 1x HSD 4000 SN 00397</t>
  </si>
  <si>
    <t>R12862176C</t>
  </si>
  <si>
    <t>Repair of 1x HSD 4000 SN 00216</t>
  </si>
  <si>
    <t>R12862177C</t>
  </si>
  <si>
    <t>Repair of 1x HSD 4000 SN 00024</t>
  </si>
  <si>
    <t>R12862178C</t>
  </si>
  <si>
    <t>Repair of 1x HSD 4000 SN 00208</t>
  </si>
  <si>
    <t>R12862179C</t>
  </si>
  <si>
    <t>Repair of 1x HSD 4000 SN 001888</t>
  </si>
  <si>
    <t>R12862180C</t>
  </si>
  <si>
    <t>Repair of 1x HSD 4000 SN 00386</t>
  </si>
  <si>
    <t>R12862181C</t>
  </si>
  <si>
    <t>Repair of 1x HSD 4000 SN 00341</t>
  </si>
  <si>
    <t>R14824055C</t>
  </si>
  <si>
    <t>Repair of 1x HSD2300/025A AVSW01 SN 306</t>
  </si>
  <si>
    <t>R14985016C</t>
  </si>
  <si>
    <t>Repair of 1x HSD 2300/025 SN 00463</t>
  </si>
  <si>
    <t>C10310008V</t>
  </si>
  <si>
    <t>HIMA SIS PLC Modifications (In-House)</t>
  </si>
  <si>
    <t>Modifications to U500, same as previously done on U400 &amp; supply of H4135A Relay.  See C13439014V for "original" U500 Reformer mods.</t>
  </si>
  <si>
    <t>C15661001M</t>
  </si>
  <si>
    <t>Generation of Workstation Reports  Variation. Supply, Install and configure an additional supplied SQL database solution in the NMC for reporting purposes.</t>
  </si>
  <si>
    <t>C13133022V</t>
  </si>
  <si>
    <t>Modifications to Offsites P1 Alarm System for Block 55 Common Alarm Separation</t>
  </si>
  <si>
    <t>C15694001V</t>
  </si>
  <si>
    <t>Site Support - Shutdown/Modification.</t>
  </si>
  <si>
    <t>R12526463C</t>
  </si>
  <si>
    <t>Repair of 1x 3EER400017-0880- CAMERA POD GREY SN 10 4852 1 09</t>
  </si>
  <si>
    <t>R15646001C</t>
  </si>
  <si>
    <t>Repair of 1x OMG MODULE SN 620272</t>
  </si>
  <si>
    <t>mrajeh</t>
  </si>
  <si>
    <t>Martin Rajeh</t>
  </si>
  <si>
    <t>C15459001F</t>
  </si>
  <si>
    <t>FSA - Stages 1, 2 &amp; 3 Revised</t>
  </si>
  <si>
    <t>C15742F</t>
  </si>
  <si>
    <t>Functional Safety Management Services</t>
  </si>
  <si>
    <t>C15586004M</t>
  </si>
  <si>
    <t>Tester/Programmer</t>
  </si>
  <si>
    <t>C15586005M</t>
  </si>
  <si>
    <t>Programming and Update tot Station Database</t>
  </si>
  <si>
    <t>I15730001Y</t>
  </si>
  <si>
    <t>Himalaya Project</t>
  </si>
  <si>
    <t>R13790049C</t>
  </si>
  <si>
    <t>Repair of 1x  HSD 2000/007 SN 0359</t>
  </si>
  <si>
    <t>R13790050C</t>
  </si>
  <si>
    <t>Repair of 1x HSD 2000/007 SN A0115</t>
  </si>
  <si>
    <t>R15008021C</t>
  </si>
  <si>
    <t>Reapir of 2x OMG MODULE SN 559941 &amp; 491136</t>
  </si>
  <si>
    <t>W15655003C</t>
  </si>
  <si>
    <t>Repair of 4x HSD 2300/025A SN 1263, 1264, 1265 and 1266</t>
  </si>
  <si>
    <t>*** ON HOLD, forecast to recommence April-2024 *** PSP SCADA Design Services REMOVAL AND RE-QUOTE NEEDED</t>
  </si>
  <si>
    <t>C13944026V</t>
  </si>
  <si>
    <t>Modpack A-032 (C13944H primary)</t>
  </si>
  <si>
    <t>C13945006V</t>
  </si>
  <si>
    <t>Modpack B-031 (C13945H secondary)</t>
  </si>
  <si>
    <t>C14043007V</t>
  </si>
  <si>
    <t>Panel Handle &amp; Lock Changes to DBR - C14043H &amp; C14342H</t>
  </si>
  <si>
    <t>I2005020V</t>
  </si>
  <si>
    <t>Training - Martin Rajeh</t>
  </si>
  <si>
    <t>M11467042V</t>
  </si>
  <si>
    <t>Annual Support Contract - 1st January 2024 to 31st December 2024, including Telephone Support, Emergency Callout. 1 Year</t>
  </si>
  <si>
    <t>M13234026V</t>
  </si>
  <si>
    <t>Annual Support Contract - 1st August 2023 to 31st July 2024, including Telephone Support, Emergency Callout &amp; Health Check.</t>
  </si>
  <si>
    <t>M13234027V</t>
  </si>
  <si>
    <t>Annual Support Contract - 1st August 2024 to 31st July 2025, including Telephone Support, Emergency Callout &amp; Health Check.</t>
  </si>
  <si>
    <t>M13234028V</t>
  </si>
  <si>
    <t>Annual Support Contract - 1st August 2025 to 31st July 2026, including Telephone Support, Emergency Callout &amp; Health Check.</t>
  </si>
  <si>
    <t>M6032021V</t>
  </si>
  <si>
    <t>S15743V</t>
  </si>
  <si>
    <t>HIMA Spares - Cable Plugs</t>
  </si>
  <si>
    <t>R10943179C</t>
  </si>
  <si>
    <t>R14824056C</t>
  </si>
  <si>
    <t>Repair of 1x HSD 2300/025A 3EER400022-9199 SN 0221</t>
  </si>
  <si>
    <t>R14996026C</t>
  </si>
  <si>
    <t>Repair of 1x HSD 2300/025A 3EER400022-9199 SN 0706</t>
  </si>
  <si>
    <t>M12999049V</t>
  </si>
  <si>
    <t>S14148005V</t>
  </si>
  <si>
    <t>S15745V</t>
  </si>
  <si>
    <t>1 x  NR10-001155</t>
  </si>
  <si>
    <t>Network Rail (was Trinity Rail)</t>
  </si>
  <si>
    <t>R12862182C</t>
  </si>
  <si>
    <t>Repair of 1-off HSD4000 Serial Number 205 Part Number 205/0181</t>
  </si>
  <si>
    <t>R12862183C</t>
  </si>
  <si>
    <t>Repair of 1-off HSD4000 Serial Number 340 Part Number 205/0181</t>
  </si>
  <si>
    <t>R13686031C</t>
  </si>
  <si>
    <t>Repair of 1-off HSD2300/025 Serial Number 0246</t>
  </si>
  <si>
    <t>R13686032C</t>
  </si>
  <si>
    <t>Repair of 1-off HSD2300/025 Serial Number 0343</t>
  </si>
  <si>
    <t>R13686033C</t>
  </si>
  <si>
    <t>Repair of 1-off HSD2300/025 Serial Number 0346</t>
  </si>
  <si>
    <t>R13790051C</t>
  </si>
  <si>
    <t>Repair of 1-off HSD2000/026 Serial Number 0300</t>
  </si>
  <si>
    <t>C15241002S</t>
  </si>
  <si>
    <t>Supply of a new Aetis PSS-AS Microphone</t>
  </si>
  <si>
    <t>C9350017V</t>
  </si>
  <si>
    <t>Replacement Power Supplies to include Site Visit</t>
  </si>
  <si>
    <t>R14148006V</t>
  </si>
  <si>
    <t>Repair of 1-off F35 03 SIL Serial Number 982200497000003211607003</t>
  </si>
  <si>
    <t>C15195005M</t>
  </si>
  <si>
    <t>CONECTOR TRACKLINK READER</t>
  </si>
  <si>
    <t>Amey</t>
  </si>
  <si>
    <t>Repair of 1-off HSD2000/007 Serial Number A0051</t>
  </si>
  <si>
    <t>C10265046V</t>
  </si>
  <si>
    <t>Updating Red Lined Drawings plus Equipment</t>
  </si>
  <si>
    <t>C10310009V</t>
  </si>
  <si>
    <t>Site Support - C10310007V</t>
  </si>
  <si>
    <t>C13439020V</t>
  </si>
  <si>
    <t>Complete a functional test of the U500 cause and effect trip matrix</t>
  </si>
  <si>
    <t>C13540042V</t>
  </si>
  <si>
    <t>Review of Breagh SIS Logic and identification of logic associated with EDP Functions</t>
  </si>
  <si>
    <t>T11964008V</t>
  </si>
  <si>
    <t>FCCU System Site Survey</t>
  </si>
  <si>
    <t>estoffels</t>
  </si>
  <si>
    <t>Evert Stoffels</t>
  </si>
  <si>
    <t>C15153007H</t>
  </si>
  <si>
    <t>In-house Project Services</t>
  </si>
  <si>
    <t>C15153008H</t>
  </si>
  <si>
    <t>Method Statement for MCB change in Skin TI Stahl Panels</t>
  </si>
  <si>
    <t>C15747D</t>
  </si>
  <si>
    <t>Barnby Street TPCMS Testing Engineering Support</t>
  </si>
  <si>
    <t>C15748S</t>
  </si>
  <si>
    <t>Waiting Shelter CIS - Clitheroe</t>
  </si>
  <si>
    <t>S15746V</t>
  </si>
  <si>
    <t>HIMA Spares - 32-100 Coated</t>
  </si>
  <si>
    <t>Electro-Tech (ea) Ltd</t>
  </si>
  <si>
    <t>alopez</t>
  </si>
  <si>
    <t>Agustin Lopez</t>
  </si>
  <si>
    <t>gscott</t>
  </si>
  <si>
    <t>Geoff Scott</t>
  </si>
  <si>
    <t>C15459002F</t>
  </si>
  <si>
    <t>PHCO FSA - Stages 1, 2 &amp; 3</t>
  </si>
  <si>
    <t>Pressure High Cut Out Modifications to PS3</t>
  </si>
  <si>
    <t>Pressure High Cut Out Modifications to LESR systems</t>
  </si>
  <si>
    <t>C15300001D</t>
  </si>
  <si>
    <t>14 Remote Panels with HMI</t>
  </si>
  <si>
    <t>C15153009V</t>
  </si>
  <si>
    <t>RESID rack 8323 ( R102 remote IO) smart JB- additional terminals required for PHCO project</t>
  </si>
  <si>
    <t>Column1</t>
  </si>
  <si>
    <t>Sales &amp; Marketing (S)</t>
  </si>
  <si>
    <t>Time spent on items such as close-outs, invoices/orders, SC books updating etc that cannot sensibly be allocated to the actual contracts.</t>
  </si>
  <si>
    <t>Time spent on staff issues, company/dept meetings, reading technical literature/journals etc.</t>
  </si>
  <si>
    <t>SAGE
Codes</t>
  </si>
  <si>
    <t>Annual Leave</t>
  </si>
  <si>
    <t xml:space="preserve">Authorised Absence </t>
  </si>
  <si>
    <t>Bank Holidays</t>
  </si>
  <si>
    <t>In House Maint</t>
  </si>
  <si>
    <t>Non Chg Tel Supp</t>
  </si>
  <si>
    <t>Non Chg Warnty Work</t>
  </si>
  <si>
    <t>SellaNet / Websites</t>
  </si>
  <si>
    <t>Sick Leave</t>
  </si>
  <si>
    <t>Training / Seminars</t>
  </si>
  <si>
    <t>VIPs / One-to-Ones</t>
  </si>
  <si>
    <t>Late Job Costs</t>
  </si>
  <si>
    <t>Product Dev &amp; Maint</t>
  </si>
  <si>
    <t xml:space="preserve">Process Safety </t>
  </si>
  <si>
    <t>Rail Systems</t>
  </si>
  <si>
    <t>I3005V</t>
  </si>
  <si>
    <t>INDIRECT CODES</t>
  </si>
  <si>
    <t>I400V</t>
  </si>
  <si>
    <t xml:space="preserve">M13163013V </t>
  </si>
  <si>
    <t>C15862H</t>
  </si>
  <si>
    <t>Notes:
Admin (I4005V): 3 hours spent on general administration, including emails, timesheets, and other routine admin tasks. 
 M13163013V (02:00 hr): Liaised with Adrian to obtain support and clarification regarding the HIMA health check service sheet.
C15862H : Created the component serial number spreadsheet and reviewed the FDS and related documentation to gain a better understanding of the system requested by Faz.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</si>
</sst>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£&quot;#,##0.00;\-&quot;£&quot;#,##0.00"/>
    <numFmt numFmtId="8" formatCode="&quot;£&quot;#,##0.00;[Red]\-&quot;£&quot;#,##0.00"/>
    <numFmt numFmtId="164" formatCode="???"/>
    <numFmt numFmtId="165" formatCode="[h]:mm"/>
    <numFmt numFmtId="166" formatCode="[hh]:mm"/>
    <numFmt numFmtId="167" formatCode="[hh]:mm:ss"/>
    <numFmt numFmtId="168" formatCode="&quot;£&quot;#,##0.00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24"/>
      <color rgb="FF00206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4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.5"/>
      <color rgb="FF002060"/>
      <name val="Calibri"/>
      <family val="2"/>
      <scheme val="minor"/>
    </font>
    <font>
      <sz val="10.5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rgb="FFC00000"/>
      <name val="Calibri"/>
      <family val="2"/>
      <scheme val="minor"/>
    </font>
    <font>
      <sz val="10.5"/>
      <color rgb="FFC00000"/>
      <name val="Calibri"/>
      <family val="2"/>
      <scheme val="minor"/>
    </font>
    <font>
      <b/>
      <sz val="2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9.5"/>
      <color rgb="FF002060"/>
      <name val="Calibri"/>
      <family val="2"/>
      <scheme val="minor"/>
    </font>
    <font>
      <sz val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62"/>
      <name val="Calibri"/>
      <family val="2"/>
      <scheme val="minor"/>
    </font>
    <font>
      <b/>
      <sz val="10"/>
      <name val="Arial"/>
      <family val="2"/>
    </font>
    <font>
      <b/>
      <sz val="16"/>
      <color theme="0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sz val="22"/>
      <name val="Calibri"/>
      <family val="2"/>
      <scheme val="minor"/>
    </font>
    <font>
      <b/>
      <sz val="28"/>
      <name val="Calibri"/>
      <family val="2"/>
      <scheme val="minor"/>
    </font>
    <font>
      <b/>
      <sz val="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indexed="64"/>
      </bottom>
      <diagonal/>
    </border>
    <border>
      <left style="thin">
        <color theme="0" tint="-0.499984740745262"/>
      </left>
      <right/>
      <top/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/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6" fillId="15" borderId="0" applyNumberFormat="0" applyBorder="0" applyAlignment="0" applyProtection="0"/>
  </cellStyleXfs>
  <cellXfs count="357">
    <xf numFmtId="0" fontId="0" fillId="0" borderId="0" xfId="0"/>
    <xf numFmtId="0" fontId="7" fillId="0" borderId="0" xfId="0" applyFont="1" applyAlignment="1" applyProtection="1">
      <alignment horizontal="centerContinuous" vertical="center"/>
      <protection locked="0"/>
    </xf>
    <xf numFmtId="0" fontId="3" fillId="0" borderId="0" xfId="0" applyFont="1" applyProtection="1"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8" fillId="0" borderId="0" xfId="0" applyFont="1" applyBorder="1" applyAlignment="1" applyProtection="1">
      <alignment horizontal="centerContinuous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10" xfId="0" applyFont="1" applyBorder="1" applyProtection="1">
      <protection locked="0"/>
    </xf>
    <xf numFmtId="0" fontId="3" fillId="0" borderId="0" xfId="0" applyFont="1" applyAlignment="1" applyProtection="1">
      <alignment textRotation="90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Continuous" vertical="center"/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3" fillId="3" borderId="8" xfId="0" applyFont="1" applyFill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right"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46" fontId="4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shrinkToFit="1"/>
      <protection locked="0"/>
    </xf>
    <xf numFmtId="0" fontId="3" fillId="0" borderId="0" xfId="0" applyFont="1" applyFill="1" applyBorder="1" applyAlignment="1" applyProtection="1">
      <protection locked="0"/>
    </xf>
    <xf numFmtId="20" fontId="3" fillId="0" borderId="0" xfId="0" applyNumberFormat="1" applyFont="1" applyFill="1" applyBorder="1" applyAlignment="1" applyProtection="1">
      <protection locked="0"/>
    </xf>
    <xf numFmtId="20" fontId="3" fillId="0" borderId="0" xfId="0" applyNumberFormat="1" applyFont="1" applyAlignment="1" applyProtection="1">
      <alignment shrinkToFit="1"/>
      <protection locked="0"/>
    </xf>
    <xf numFmtId="20" fontId="3" fillId="0" borderId="0" xfId="0" applyNumberFormat="1" applyFont="1" applyProtection="1">
      <protection locked="0"/>
    </xf>
    <xf numFmtId="0" fontId="6" fillId="0" borderId="0" xfId="0" applyFont="1" applyBorder="1" applyProtection="1">
      <protection locked="0"/>
    </xf>
    <xf numFmtId="20" fontId="15" fillId="11" borderId="34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34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25" xfId="0" applyFont="1" applyBorder="1" applyProtection="1">
      <protection locked="0"/>
    </xf>
    <xf numFmtId="20" fontId="4" fillId="4" borderId="34" xfId="0" applyNumberFormat="1" applyFont="1" applyFill="1" applyBorder="1" applyAlignment="1" applyProtection="1">
      <alignment horizontal="center" vertical="center" shrinkToFit="1"/>
    </xf>
    <xf numFmtId="0" fontId="3" fillId="0" borderId="25" xfId="0" applyFont="1" applyBorder="1" applyAlignment="1" applyProtection="1">
      <alignment shrinkToFit="1"/>
      <protection locked="0"/>
    </xf>
    <xf numFmtId="20" fontId="15" fillId="11" borderId="14" xfId="0" applyNumberFormat="1" applyFont="1" applyFill="1" applyBorder="1" applyAlignment="1" applyProtection="1">
      <alignment horizontal="center" vertical="center" shrinkToFit="1"/>
      <protection locked="0"/>
    </xf>
    <xf numFmtId="20" fontId="15" fillId="11" borderId="15" xfId="0" applyNumberFormat="1" applyFont="1" applyFill="1" applyBorder="1" applyAlignment="1" applyProtection="1">
      <alignment horizontal="center" vertical="center" shrinkToFit="1"/>
      <protection locked="0"/>
    </xf>
    <xf numFmtId="20" fontId="3" fillId="12" borderId="14" xfId="0" applyNumberFormat="1" applyFont="1" applyFill="1" applyBorder="1" applyAlignment="1" applyProtection="1">
      <alignment horizontal="center" vertical="center" shrinkToFit="1"/>
      <protection locked="0"/>
    </xf>
    <xf numFmtId="0" fontId="3" fillId="12" borderId="15" xfId="0" applyFont="1" applyFill="1" applyBorder="1" applyAlignment="1" applyProtection="1">
      <alignment horizontal="center" vertical="center" shrinkToFit="1"/>
      <protection locked="0"/>
    </xf>
    <xf numFmtId="20" fontId="4" fillId="4" borderId="14" xfId="0" applyNumberFormat="1" applyFont="1" applyFill="1" applyBorder="1" applyAlignment="1" applyProtection="1">
      <alignment horizontal="center" vertical="center" shrinkToFit="1"/>
    </xf>
    <xf numFmtId="20" fontId="4" fillId="4" borderId="15" xfId="0" applyNumberFormat="1" applyFont="1" applyFill="1" applyBorder="1" applyAlignment="1" applyProtection="1">
      <alignment horizontal="center" vertical="center" shrinkToFit="1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vertical="center" shrinkToFit="1"/>
      <protection locked="0"/>
    </xf>
    <xf numFmtId="0" fontId="16" fillId="11" borderId="16" xfId="0" applyFont="1" applyFill="1" applyBorder="1" applyAlignment="1" applyProtection="1">
      <alignment horizontal="left" vertical="center" shrinkToFit="1"/>
      <protection locked="0"/>
    </xf>
    <xf numFmtId="0" fontId="4" fillId="4" borderId="16" xfId="0" applyFont="1" applyFill="1" applyBorder="1" applyAlignment="1" applyProtection="1">
      <alignment vertical="center" shrinkToFit="1"/>
      <protection locked="0"/>
    </xf>
    <xf numFmtId="0" fontId="8" fillId="3" borderId="25" xfId="0" applyFont="1" applyFill="1" applyBorder="1" applyAlignment="1" applyProtection="1">
      <alignment vertical="center" shrinkToFit="1"/>
      <protection locked="0"/>
    </xf>
    <xf numFmtId="0" fontId="13" fillId="6" borderId="16" xfId="0" quotePrefix="1" applyFont="1" applyFill="1" applyBorder="1" applyAlignment="1" applyProtection="1">
      <alignment horizontal="left" vertical="center" shrinkToFit="1"/>
      <protection locked="0"/>
    </xf>
    <xf numFmtId="0" fontId="17" fillId="6" borderId="22" xfId="0" quotePrefix="1" applyFont="1" applyFill="1" applyBorder="1" applyAlignment="1" applyProtection="1">
      <alignment horizontal="left" shrinkToFit="1"/>
      <protection locked="0"/>
    </xf>
    <xf numFmtId="20" fontId="3" fillId="12" borderId="35" xfId="0" applyNumberFormat="1" applyFont="1" applyFill="1" applyBorder="1" applyAlignment="1" applyProtection="1">
      <alignment horizontal="center" vertical="center"/>
      <protection locked="0"/>
    </xf>
    <xf numFmtId="20" fontId="3" fillId="12" borderId="31" xfId="0" applyNumberFormat="1" applyFont="1" applyFill="1" applyBorder="1" applyAlignment="1" applyProtection="1">
      <alignment horizontal="center" vertical="center" shrinkToFit="1"/>
      <protection locked="0"/>
    </xf>
    <xf numFmtId="0" fontId="8" fillId="9" borderId="19" xfId="0" applyFont="1" applyFill="1" applyBorder="1" applyAlignment="1" applyProtection="1">
      <alignment horizontal="center" vertical="top" shrinkToFit="1"/>
      <protection locked="0"/>
    </xf>
    <xf numFmtId="0" fontId="8" fillId="8" borderId="18" xfId="0" applyFont="1" applyFill="1" applyBorder="1" applyAlignment="1" applyProtection="1">
      <alignment horizontal="center" vertical="center" shrinkToFit="1"/>
      <protection locked="0"/>
    </xf>
    <xf numFmtId="0" fontId="8" fillId="8" borderId="28" xfId="0" applyFont="1" applyFill="1" applyBorder="1" applyAlignment="1" applyProtection="1">
      <alignment horizontal="center" vertical="center" shrinkToFit="1"/>
      <protection locked="0"/>
    </xf>
    <xf numFmtId="0" fontId="8" fillId="8" borderId="29" xfId="0" applyFont="1" applyFill="1" applyBorder="1" applyAlignment="1" applyProtection="1">
      <alignment horizontal="center" vertical="center" shrinkToFit="1"/>
      <protection locked="0"/>
    </xf>
    <xf numFmtId="0" fontId="3" fillId="9" borderId="19" xfId="0" applyFont="1" applyFill="1" applyBorder="1" applyAlignment="1" applyProtection="1">
      <alignment horizontal="center" vertical="center" shrinkToFit="1"/>
      <protection locked="0"/>
    </xf>
    <xf numFmtId="0" fontId="3" fillId="13" borderId="0" xfId="0" applyFont="1" applyFill="1" applyProtection="1">
      <protection locked="0"/>
    </xf>
    <xf numFmtId="22" fontId="3" fillId="13" borderId="0" xfId="0" applyNumberFormat="1" applyFont="1" applyFill="1" applyProtection="1">
      <protection locked="0"/>
    </xf>
    <xf numFmtId="8" fontId="3" fillId="0" borderId="0" xfId="0" applyNumberFormat="1" applyFont="1" applyBorder="1" applyProtection="1">
      <protection locked="0"/>
    </xf>
    <xf numFmtId="0" fontId="12" fillId="3" borderId="18" xfId="0" applyFont="1" applyFill="1" applyBorder="1" applyAlignment="1" applyProtection="1">
      <alignment vertical="center"/>
      <protection locked="0"/>
    </xf>
    <xf numFmtId="16" fontId="3" fillId="0" borderId="0" xfId="0" applyNumberFormat="1" applyFont="1" applyProtection="1">
      <protection locked="0"/>
    </xf>
    <xf numFmtId="0" fontId="20" fillId="2" borderId="18" xfId="0" applyFont="1" applyFill="1" applyBorder="1" applyAlignment="1" applyProtection="1">
      <alignment horizontal="center" vertical="center" wrapText="1"/>
      <protection locked="0"/>
    </xf>
    <xf numFmtId="0" fontId="20" fillId="2" borderId="28" xfId="0" applyFont="1" applyFill="1" applyBorder="1" applyAlignment="1" applyProtection="1">
      <alignment horizontal="center" vertical="center" wrapText="1"/>
      <protection locked="0"/>
    </xf>
    <xf numFmtId="0" fontId="20" fillId="2" borderId="29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vertical="center"/>
      <protection locked="0"/>
    </xf>
    <xf numFmtId="0" fontId="3" fillId="12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165" fontId="3" fillId="12" borderId="0" xfId="0" applyNumberFormat="1" applyFont="1" applyFill="1" applyProtection="1">
      <protection locked="0"/>
    </xf>
    <xf numFmtId="14" fontId="3" fillId="0" borderId="0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1" fontId="3" fillId="0" borderId="0" xfId="0" applyNumberFormat="1" applyFont="1" applyBorder="1" applyProtection="1">
      <protection locked="0"/>
    </xf>
    <xf numFmtId="166" fontId="3" fillId="0" borderId="0" xfId="0" applyNumberFormat="1" applyFont="1" applyProtection="1">
      <protection locked="0"/>
    </xf>
    <xf numFmtId="0" fontId="3" fillId="0" borderId="9" xfId="0" applyFont="1" applyBorder="1" applyProtection="1">
      <protection locked="0"/>
    </xf>
    <xf numFmtId="2" fontId="3" fillId="0" borderId="27" xfId="0" applyNumberFormat="1" applyFont="1" applyBorder="1" applyProtection="1">
      <protection locked="0"/>
    </xf>
    <xf numFmtId="0" fontId="3" fillId="0" borderId="4" xfId="0" applyFont="1" applyBorder="1" applyProtection="1">
      <protection locked="0"/>
    </xf>
    <xf numFmtId="2" fontId="3" fillId="0" borderId="6" xfId="0" applyNumberFormat="1" applyFont="1" applyBorder="1" applyProtection="1">
      <protection locked="0"/>
    </xf>
    <xf numFmtId="0" fontId="25" fillId="0" borderId="0" xfId="0" applyFont="1" applyAlignment="1" applyProtection="1">
      <alignment horizontal="left"/>
      <protection locked="0"/>
    </xf>
    <xf numFmtId="0" fontId="28" fillId="12" borderId="0" xfId="0" applyFont="1" applyFill="1" applyProtection="1">
      <protection locked="0"/>
    </xf>
    <xf numFmtId="0" fontId="27" fillId="12" borderId="0" xfId="0" applyFont="1" applyFill="1" applyAlignment="1" applyProtection="1">
      <alignment horizontal="center"/>
      <protection locked="0"/>
    </xf>
    <xf numFmtId="20" fontId="8" fillId="0" borderId="25" xfId="0" applyNumberFormat="1" applyFont="1" applyBorder="1" applyAlignment="1" applyProtection="1">
      <alignment horizontal="center" vertical="center" shrinkToFit="1"/>
    </xf>
    <xf numFmtId="0" fontId="25" fillId="0" borderId="0" xfId="0" applyFont="1" applyAlignment="1" applyProtection="1">
      <alignment horizontal="left"/>
    </xf>
    <xf numFmtId="20" fontId="16" fillId="11" borderId="16" xfId="0" applyNumberFormat="1" applyFont="1" applyFill="1" applyBorder="1" applyAlignment="1" applyProtection="1">
      <alignment horizontal="center" vertical="center" shrinkToFit="1"/>
    </xf>
    <xf numFmtId="20" fontId="3" fillId="12" borderId="43" xfId="0" applyNumberFormat="1" applyFont="1" applyFill="1" applyBorder="1" applyAlignment="1" applyProtection="1">
      <alignment horizontal="center" vertical="center"/>
      <protection locked="0"/>
    </xf>
    <xf numFmtId="20" fontId="3" fillId="12" borderId="4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4" xfId="0" applyFont="1" applyBorder="1" applyAlignment="1" applyProtection="1">
      <alignment shrinkToFit="1"/>
      <protection locked="0"/>
    </xf>
    <xf numFmtId="168" fontId="9" fillId="5" borderId="33" xfId="0" applyNumberFormat="1" applyFont="1" applyFill="1" applyBorder="1" applyAlignment="1" applyProtection="1">
      <alignment horizontal="center" vertical="center"/>
    </xf>
    <xf numFmtId="1" fontId="2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6" xfId="0" applyNumberFormat="1" applyFont="1" applyFill="1" applyBorder="1" applyAlignment="1" applyProtection="1">
      <alignment horizontal="center" vertical="center"/>
      <protection locked="0"/>
    </xf>
    <xf numFmtId="1" fontId="6" fillId="4" borderId="25" xfId="0" applyNumberFormat="1" applyFont="1" applyFill="1" applyBorder="1" applyAlignment="1" applyProtection="1">
      <alignment horizontal="center" vertical="center"/>
      <protection locked="0"/>
    </xf>
    <xf numFmtId="1" fontId="6" fillId="4" borderId="12" xfId="0" applyNumberFormat="1" applyFont="1" applyFill="1" applyBorder="1" applyAlignment="1" applyProtection="1">
      <alignment horizontal="center" vertical="center"/>
      <protection locked="0"/>
    </xf>
    <xf numFmtId="1" fontId="6" fillId="4" borderId="24" xfId="0" applyNumberFormat="1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Protection="1">
      <protection locked="0"/>
    </xf>
    <xf numFmtId="0" fontId="30" fillId="12" borderId="0" xfId="0" applyFont="1" applyFill="1" applyAlignment="1" applyProtection="1">
      <alignment horizontal="center"/>
      <protection locked="0"/>
    </xf>
    <xf numFmtId="165" fontId="30" fillId="12" borderId="0" xfId="0" applyNumberFormat="1" applyFont="1" applyFill="1" applyProtection="1">
      <protection locked="0"/>
    </xf>
    <xf numFmtId="166" fontId="9" fillId="6" borderId="36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35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1" xfId="0" applyNumberFormat="1" applyFont="1" applyFill="1" applyBorder="1" applyAlignment="1" applyProtection="1">
      <alignment horizontal="center" vertical="center" wrapText="1"/>
      <protection locked="0"/>
    </xf>
    <xf numFmtId="166" fontId="9" fillId="6" borderId="42" xfId="0" applyNumberFormat="1" applyFont="1" applyFill="1" applyBorder="1" applyAlignment="1" applyProtection="1">
      <alignment horizontal="center" vertical="center" wrapText="1"/>
      <protection locked="0"/>
    </xf>
    <xf numFmtId="165" fontId="2" fillId="4" borderId="11" xfId="0" applyNumberFormat="1" applyFont="1" applyFill="1" applyBorder="1" applyAlignment="1" applyProtection="1">
      <alignment horizontal="center" vertical="center"/>
      <protection hidden="1"/>
    </xf>
    <xf numFmtId="165" fontId="14" fillId="4" borderId="12" xfId="0" applyNumberFormat="1" applyFont="1" applyFill="1" applyBorder="1" applyAlignment="1" applyProtection="1">
      <alignment horizontal="center" vertical="center"/>
      <protection hidden="1"/>
    </xf>
    <xf numFmtId="165" fontId="2" fillId="4" borderId="13" xfId="0" applyNumberFormat="1" applyFont="1" applyFill="1" applyBorder="1" applyAlignment="1" applyProtection="1">
      <alignment horizontal="center" vertical="center"/>
      <protection hidden="1"/>
    </xf>
    <xf numFmtId="165" fontId="14" fillId="4" borderId="16" xfId="0" applyNumberFormat="1" applyFont="1" applyFill="1" applyBorder="1" applyAlignment="1" applyProtection="1">
      <alignment horizontal="center" vertical="center"/>
      <protection hidden="1"/>
    </xf>
    <xf numFmtId="165" fontId="2" fillId="4" borderId="40" xfId="0" applyNumberFormat="1" applyFont="1" applyFill="1" applyBorder="1" applyAlignment="1" applyProtection="1">
      <alignment horizontal="center" vertical="center"/>
      <protection hidden="1"/>
    </xf>
    <xf numFmtId="165" fontId="14" fillId="4" borderId="22" xfId="0" applyNumberFormat="1" applyFont="1" applyFill="1" applyBorder="1" applyAlignment="1" applyProtection="1">
      <alignment horizontal="center" vertical="center"/>
      <protection hidden="1"/>
    </xf>
    <xf numFmtId="165" fontId="2" fillId="4" borderId="39" xfId="0" applyNumberFormat="1" applyFont="1" applyFill="1" applyBorder="1" applyAlignment="1" applyProtection="1">
      <alignment horizontal="center" vertical="center"/>
      <protection hidden="1"/>
    </xf>
    <xf numFmtId="165" fontId="2" fillId="4" borderId="17" xfId="0" applyNumberFormat="1" applyFont="1" applyFill="1" applyBorder="1" applyAlignment="1" applyProtection="1">
      <alignment horizontal="center" vertical="center"/>
      <protection hidden="1"/>
    </xf>
    <xf numFmtId="165" fontId="2" fillId="9" borderId="7" xfId="0" applyNumberFormat="1" applyFont="1" applyFill="1" applyBorder="1" applyAlignment="1" applyProtection="1">
      <alignment horizontal="center" vertical="center"/>
      <protection hidden="1"/>
    </xf>
    <xf numFmtId="165" fontId="14" fillId="9" borderId="19" xfId="0" applyNumberFormat="1" applyFont="1" applyFill="1" applyBorder="1" applyAlignment="1" applyProtection="1">
      <alignment horizontal="center" vertical="center"/>
      <protection hidden="1"/>
    </xf>
    <xf numFmtId="165" fontId="2" fillId="4" borderId="21" xfId="0" applyNumberFormat="1" applyFont="1" applyFill="1" applyBorder="1" applyAlignment="1" applyProtection="1">
      <alignment horizontal="center" vertical="center"/>
      <protection hidden="1"/>
    </xf>
    <xf numFmtId="0" fontId="33" fillId="3" borderId="7" xfId="0" applyFont="1" applyFill="1" applyBorder="1" applyAlignment="1" applyProtection="1">
      <alignment horizontal="left" vertical="center"/>
      <protection locked="0"/>
    </xf>
    <xf numFmtId="165" fontId="34" fillId="6" borderId="12" xfId="0" applyNumberFormat="1" applyFont="1" applyFill="1" applyBorder="1" applyAlignment="1" applyProtection="1">
      <alignment horizontal="center" vertical="center"/>
      <protection hidden="1"/>
    </xf>
    <xf numFmtId="165" fontId="34" fillId="6" borderId="26" xfId="0" applyNumberFormat="1" applyFont="1" applyFill="1" applyBorder="1" applyAlignment="1" applyProtection="1">
      <alignment horizontal="center" vertical="center"/>
      <protection hidden="1"/>
    </xf>
    <xf numFmtId="165" fontId="2" fillId="3" borderId="19" xfId="0" applyNumberFormat="1" applyFont="1" applyFill="1" applyBorder="1" applyAlignment="1" applyProtection="1">
      <alignment horizontal="center" vertical="center"/>
      <protection hidden="1"/>
    </xf>
    <xf numFmtId="0" fontId="16" fillId="0" borderId="7" xfId="0" applyFont="1" applyBorder="1" applyAlignment="1" applyProtection="1">
      <alignment horizontal="center" vertical="center"/>
      <protection locked="0"/>
    </xf>
    <xf numFmtId="164" fontId="14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40" xfId="0" applyFont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left" vertical="center"/>
      <protection locked="0"/>
    </xf>
    <xf numFmtId="0" fontId="37" fillId="3" borderId="7" xfId="0" applyFont="1" applyFill="1" applyBorder="1" applyAlignment="1" applyProtection="1">
      <alignment horizontal="right" vertical="center"/>
      <protection locked="0"/>
    </xf>
    <xf numFmtId="0" fontId="35" fillId="4" borderId="19" xfId="0" applyFont="1" applyFill="1" applyBorder="1" applyAlignment="1" applyProtection="1">
      <alignment horizontal="right" vertical="center"/>
      <protection locked="0"/>
    </xf>
    <xf numFmtId="0" fontId="37" fillId="0" borderId="23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vertical="top"/>
      <protection locked="0"/>
    </xf>
    <xf numFmtId="0" fontId="36" fillId="3" borderId="10" xfId="0" applyFont="1" applyFill="1" applyBorder="1" applyAlignment="1" applyProtection="1">
      <alignment horizontal="center" vertical="center"/>
      <protection hidden="1"/>
    </xf>
    <xf numFmtId="0" fontId="36" fillId="3" borderId="28" xfId="0" applyFont="1" applyFill="1" applyBorder="1" applyAlignment="1" applyProtection="1">
      <alignment horizontal="center" vertical="center"/>
      <protection hidden="1"/>
    </xf>
    <xf numFmtId="0" fontId="39" fillId="3" borderId="29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Protection="1">
      <protection locked="0"/>
    </xf>
    <xf numFmtId="21" fontId="3" fillId="0" borderId="0" xfId="0" applyNumberFormat="1" applyFont="1" applyProtection="1">
      <protection locked="0"/>
    </xf>
    <xf numFmtId="46" fontId="3" fillId="0" borderId="0" xfId="0" applyNumberFormat="1" applyFont="1" applyBorder="1" applyProtection="1">
      <protection locked="0"/>
    </xf>
    <xf numFmtId="166" fontId="9" fillId="3" borderId="28" xfId="0" applyNumberFormat="1" applyFont="1" applyFill="1" applyBorder="1" applyAlignment="1" applyProtection="1">
      <alignment horizontal="center" vertical="center"/>
      <protection hidden="1"/>
    </xf>
    <xf numFmtId="168" fontId="9" fillId="3" borderId="29" xfId="0" applyNumberFormat="1" applyFont="1" applyFill="1" applyBorder="1" applyAlignment="1" applyProtection="1">
      <alignment horizontal="center" vertical="center"/>
      <protection hidden="1"/>
    </xf>
    <xf numFmtId="7" fontId="9" fillId="3" borderId="19" xfId="0" applyNumberFormat="1" applyFont="1" applyFill="1" applyBorder="1" applyAlignment="1" applyProtection="1">
      <alignment horizontal="center" vertical="center"/>
      <protection hidden="1"/>
    </xf>
    <xf numFmtId="165" fontId="9" fillId="3" borderId="19" xfId="0" applyNumberFormat="1" applyFont="1" applyFill="1" applyBorder="1" applyAlignment="1" applyProtection="1">
      <alignment horizontal="center" vertical="center"/>
      <protection hidden="1"/>
    </xf>
    <xf numFmtId="1" fontId="9" fillId="3" borderId="25" xfId="0" applyNumberFormat="1" applyFont="1" applyFill="1" applyBorder="1" applyAlignment="1" applyProtection="1">
      <alignment horizontal="center" vertical="center"/>
      <protection hidden="1"/>
    </xf>
    <xf numFmtId="20" fontId="8" fillId="3" borderId="14" xfId="0" applyNumberFormat="1" applyFont="1" applyFill="1" applyBorder="1" applyAlignment="1" applyProtection="1">
      <alignment horizontal="center" vertical="center" shrinkToFit="1"/>
    </xf>
    <xf numFmtId="20" fontId="8" fillId="3" borderId="34" xfId="0" applyNumberFormat="1" applyFont="1" applyFill="1" applyBorder="1" applyAlignment="1" applyProtection="1">
      <alignment horizontal="center" vertical="center" shrinkToFit="1"/>
    </xf>
    <xf numFmtId="20" fontId="8" fillId="3" borderId="15" xfId="0" applyNumberFormat="1" applyFont="1" applyFill="1" applyBorder="1" applyAlignment="1" applyProtection="1">
      <alignment horizontal="center" vertical="center" shrinkToFit="1"/>
    </xf>
    <xf numFmtId="165" fontId="4" fillId="10" borderId="16" xfId="0" applyNumberFormat="1" applyFont="1" applyFill="1" applyBorder="1" applyAlignment="1" applyProtection="1">
      <alignment horizontal="center" vertical="center"/>
    </xf>
    <xf numFmtId="20" fontId="3" fillId="6" borderId="1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4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15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6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20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7" xfId="0" applyNumberFormat="1" applyFont="1" applyFill="1" applyBorder="1" applyAlignment="1" applyProtection="1">
      <alignment horizontal="center" vertical="center" shrinkToFit="1"/>
      <protection hidden="1"/>
    </xf>
    <xf numFmtId="20" fontId="3" fillId="6" borderId="38" xfId="0" applyNumberFormat="1" applyFont="1" applyFill="1" applyBorder="1" applyAlignment="1" applyProtection="1">
      <alignment horizontal="center" vertical="center" shrinkToFit="1"/>
      <protection hidden="1"/>
    </xf>
    <xf numFmtId="166" fontId="3" fillId="10" borderId="22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0" applyFont="1" applyAlignment="1" applyProtection="1">
      <alignment horizontal="left" vertical="center"/>
    </xf>
    <xf numFmtId="168" fontId="9" fillId="3" borderId="22" xfId="0" applyNumberFormat="1" applyFont="1" applyFill="1" applyBorder="1" applyAlignment="1" applyProtection="1">
      <alignment horizontal="center" vertical="center"/>
      <protection hidden="1"/>
    </xf>
    <xf numFmtId="0" fontId="42" fillId="0" borderId="0" xfId="0" applyFont="1" applyBorder="1" applyAlignment="1" applyProtection="1">
      <alignment horizontal="center" vertical="center" wrapText="1"/>
      <protection locked="0"/>
    </xf>
    <xf numFmtId="0" fontId="43" fillId="0" borderId="0" xfId="0" applyFont="1" applyBorder="1" applyAlignment="1" applyProtection="1">
      <alignment wrapText="1"/>
      <protection locked="0"/>
    </xf>
    <xf numFmtId="0" fontId="42" fillId="0" borderId="0" xfId="0" applyFont="1" applyBorder="1" applyAlignment="1" applyProtection="1">
      <alignment horizontal="center" vertical="center" textRotation="90" wrapText="1"/>
      <protection locked="0"/>
    </xf>
    <xf numFmtId="0" fontId="43" fillId="0" borderId="0" xfId="0" applyFont="1" applyBorder="1" applyAlignment="1" applyProtection="1">
      <alignment textRotation="90"/>
      <protection locked="0"/>
    </xf>
    <xf numFmtId="46" fontId="43" fillId="0" borderId="0" xfId="0" applyNumberFormat="1" applyFont="1" applyBorder="1" applyAlignment="1" applyProtection="1">
      <alignment horizontal="center" vertical="center"/>
      <protection hidden="1"/>
    </xf>
    <xf numFmtId="0" fontId="43" fillId="0" borderId="0" xfId="0" applyFont="1" applyBorder="1" applyAlignment="1" applyProtection="1">
      <alignment horizontal="center" vertical="center"/>
      <protection hidden="1"/>
    </xf>
    <xf numFmtId="46" fontId="43" fillId="0" borderId="0" xfId="0" applyNumberFormat="1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horizontal="center" vertical="center"/>
    </xf>
    <xf numFmtId="165" fontId="11" fillId="0" borderId="48" xfId="0" applyNumberFormat="1" applyFont="1" applyBorder="1" applyAlignment="1" applyProtection="1">
      <alignment horizontal="center" vertical="center"/>
      <protection locked="0"/>
    </xf>
    <xf numFmtId="165" fontId="11" fillId="0" borderId="49" xfId="0" applyNumberFormat="1" applyFont="1" applyBorder="1" applyAlignment="1" applyProtection="1">
      <alignment horizontal="center" vertical="center"/>
      <protection locked="0"/>
    </xf>
    <xf numFmtId="165" fontId="11" fillId="0" borderId="50" xfId="0" applyNumberFormat="1" applyFont="1" applyBorder="1" applyAlignment="1" applyProtection="1">
      <alignment horizontal="center" vertical="center"/>
      <protection locked="0"/>
    </xf>
    <xf numFmtId="165" fontId="11" fillId="0" borderId="51" xfId="0" applyNumberFormat="1" applyFont="1" applyBorder="1" applyAlignment="1" applyProtection="1">
      <alignment horizontal="center" vertical="center"/>
      <protection locked="0"/>
    </xf>
    <xf numFmtId="165" fontId="11" fillId="0" borderId="52" xfId="0" applyNumberFormat="1" applyFont="1" applyBorder="1" applyAlignment="1" applyProtection="1">
      <alignment horizontal="center" vertical="center"/>
      <protection locked="0"/>
    </xf>
    <xf numFmtId="165" fontId="11" fillId="0" borderId="53" xfId="0" applyNumberFormat="1" applyFont="1" applyBorder="1" applyAlignment="1" applyProtection="1">
      <alignment horizontal="center" vertical="center"/>
      <protection locked="0"/>
    </xf>
    <xf numFmtId="165" fontId="11" fillId="0" borderId="5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46" fontId="43" fillId="0" borderId="9" xfId="0" applyNumberFormat="1" applyFont="1" applyBorder="1" applyAlignment="1" applyProtection="1">
      <alignment horizontal="center" vertical="center"/>
      <protection hidden="1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165" fontId="11" fillId="0" borderId="57" xfId="0" applyNumberFormat="1" applyFont="1" applyBorder="1" applyAlignment="1" applyProtection="1">
      <alignment horizontal="center" vertical="center"/>
      <protection locked="0"/>
    </xf>
    <xf numFmtId="165" fontId="11" fillId="0" borderId="58" xfId="0" applyNumberFormat="1" applyFont="1" applyBorder="1" applyAlignment="1" applyProtection="1">
      <alignment horizontal="center" vertical="center"/>
      <protection locked="0"/>
    </xf>
    <xf numFmtId="165" fontId="11" fillId="0" borderId="59" xfId="0" applyNumberFormat="1" applyFont="1" applyBorder="1" applyAlignment="1" applyProtection="1">
      <alignment horizontal="center" vertical="center"/>
      <protection locked="0"/>
    </xf>
    <xf numFmtId="165" fontId="11" fillId="0" borderId="60" xfId="0" applyNumberFormat="1" applyFont="1" applyBorder="1" applyAlignment="1" applyProtection="1">
      <alignment horizontal="center" vertical="center"/>
      <protection locked="0"/>
    </xf>
    <xf numFmtId="165" fontId="11" fillId="0" borderId="61" xfId="0" applyNumberFormat="1" applyFont="1" applyBorder="1" applyAlignment="1" applyProtection="1">
      <alignment horizontal="center" vertical="center"/>
      <protection locked="0"/>
    </xf>
    <xf numFmtId="165" fontId="11" fillId="0" borderId="62" xfId="0" applyNumberFormat="1" applyFont="1" applyBorder="1" applyAlignment="1" applyProtection="1">
      <alignment horizontal="center" vertical="center"/>
      <protection locked="0"/>
    </xf>
    <xf numFmtId="0" fontId="41" fillId="12" borderId="0" xfId="0" applyFont="1" applyFill="1" applyProtection="1">
      <protection locked="0"/>
    </xf>
    <xf numFmtId="0" fontId="41" fillId="12" borderId="0" xfId="0" applyFont="1" applyFill="1" applyAlignment="1" applyProtection="1">
      <alignment horizontal="center"/>
      <protection locked="0"/>
    </xf>
    <xf numFmtId="165" fontId="41" fillId="12" borderId="0" xfId="0" applyNumberFormat="1" applyFont="1" applyFill="1" applyProtection="1">
      <protection locked="0"/>
    </xf>
    <xf numFmtId="0" fontId="41" fillId="13" borderId="0" xfId="0" applyFont="1" applyFill="1" applyProtection="1">
      <protection locked="0"/>
    </xf>
    <xf numFmtId="22" fontId="41" fillId="13" borderId="0" xfId="0" applyNumberFormat="1" applyFont="1" applyFill="1" applyProtection="1">
      <protection locked="0"/>
    </xf>
    <xf numFmtId="1" fontId="20" fillId="6" borderId="32" xfId="0" applyNumberFormat="1" applyFont="1" applyFill="1" applyBorder="1" applyAlignment="1" applyProtection="1">
      <alignment horizontal="center" vertical="center" wrapText="1"/>
      <protection locked="0"/>
    </xf>
    <xf numFmtId="0" fontId="45" fillId="12" borderId="0" xfId="0" applyFont="1" applyFill="1" applyProtection="1">
      <protection locked="0"/>
    </xf>
    <xf numFmtId="0" fontId="45" fillId="12" borderId="0" xfId="0" applyFont="1" applyFill="1" applyAlignment="1" applyProtection="1">
      <alignment horizontal="center"/>
      <protection locked="0"/>
    </xf>
    <xf numFmtId="165" fontId="45" fillId="12" borderId="0" xfId="0" applyNumberFormat="1" applyFont="1" applyFill="1" applyProtection="1">
      <protection locked="0"/>
    </xf>
    <xf numFmtId="0" fontId="45" fillId="13" borderId="0" xfId="0" applyFont="1" applyFill="1" applyProtection="1">
      <protection locked="0"/>
    </xf>
    <xf numFmtId="22" fontId="45" fillId="13" borderId="0" xfId="0" applyNumberFormat="1" applyFont="1" applyFill="1" applyProtection="1">
      <protection locked="0"/>
    </xf>
    <xf numFmtId="1" fontId="20" fillId="6" borderId="20" xfId="0" applyNumberFormat="1" applyFont="1" applyFill="1" applyBorder="1" applyAlignment="1" applyProtection="1">
      <alignment horizontal="center" vertical="center" wrapText="1"/>
      <protection locked="0"/>
    </xf>
    <xf numFmtId="168" fontId="9" fillId="5" borderId="38" xfId="0" applyNumberFormat="1" applyFont="1" applyFill="1" applyBorder="1" applyAlignment="1" applyProtection="1">
      <alignment horizontal="center" vertical="center"/>
    </xf>
    <xf numFmtId="0" fontId="47" fillId="12" borderId="0" xfId="0" applyFont="1" applyFill="1" applyProtection="1">
      <protection locked="0"/>
    </xf>
    <xf numFmtId="0" fontId="47" fillId="12" borderId="0" xfId="0" applyFont="1" applyFill="1" applyAlignment="1" applyProtection="1">
      <alignment horizontal="center"/>
      <protection locked="0"/>
    </xf>
    <xf numFmtId="165" fontId="47" fillId="12" borderId="0" xfId="0" applyNumberFormat="1" applyFont="1" applyFill="1" applyProtection="1">
      <protection locked="0"/>
    </xf>
    <xf numFmtId="165" fontId="11" fillId="0" borderId="61" xfId="2" applyNumberFormat="1" applyFont="1" applyFill="1" applyBorder="1" applyAlignment="1" applyProtection="1">
      <alignment horizontal="center" vertical="center"/>
      <protection locked="0"/>
    </xf>
    <xf numFmtId="0" fontId="48" fillId="12" borderId="0" xfId="0" applyFont="1" applyFill="1" applyProtection="1">
      <protection locked="0"/>
    </xf>
    <xf numFmtId="0" fontId="48" fillId="12" borderId="0" xfId="0" applyFont="1" applyFill="1" applyAlignment="1" applyProtection="1">
      <alignment horizontal="center"/>
      <protection locked="0"/>
    </xf>
    <xf numFmtId="165" fontId="48" fillId="12" borderId="0" xfId="0" applyNumberFormat="1" applyFont="1" applyFill="1" applyProtection="1">
      <protection locked="0"/>
    </xf>
    <xf numFmtId="0" fontId="49" fillId="12" borderId="0" xfId="0" applyFont="1" applyFill="1" applyProtection="1">
      <protection locked="0"/>
    </xf>
    <xf numFmtId="0" fontId="49" fillId="12" borderId="0" xfId="0" applyFont="1" applyFill="1" applyAlignment="1" applyProtection="1">
      <alignment horizontal="center"/>
      <protection locked="0"/>
    </xf>
    <xf numFmtId="165" fontId="49" fillId="12" borderId="0" xfId="0" applyNumberFormat="1" applyFont="1" applyFill="1" applyProtection="1">
      <protection locked="0"/>
    </xf>
    <xf numFmtId="0" fontId="49" fillId="13" borderId="0" xfId="0" applyFont="1" applyFill="1" applyProtection="1">
      <protection locked="0"/>
    </xf>
    <xf numFmtId="22" fontId="49" fillId="13" borderId="0" xfId="0" applyNumberFormat="1" applyFont="1" applyFill="1" applyProtection="1">
      <protection locked="0"/>
    </xf>
    <xf numFmtId="0" fontId="50" fillId="2" borderId="4" xfId="0" applyFont="1" applyFill="1" applyBorder="1" applyAlignment="1">
      <alignment vertical="center"/>
    </xf>
    <xf numFmtId="0" fontId="3" fillId="0" borderId="6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51" fillId="0" borderId="0" xfId="0" applyFont="1"/>
    <xf numFmtId="0" fontId="52" fillId="17" borderId="7" xfId="0" applyFont="1" applyFill="1" applyBorder="1" applyAlignment="1">
      <alignment horizontal="center" vertical="center" wrapText="1"/>
    </xf>
    <xf numFmtId="0" fontId="53" fillId="2" borderId="28" xfId="0" applyFont="1" applyFill="1" applyBorder="1" applyAlignment="1">
      <alignment horizontal="center" vertical="center" wrapText="1"/>
    </xf>
    <xf numFmtId="0" fontId="53" fillId="2" borderId="18" xfId="0" applyFont="1" applyFill="1" applyBorder="1" applyAlignment="1">
      <alignment horizontal="center" vertical="center" wrapText="1"/>
    </xf>
    <xf numFmtId="0" fontId="53" fillId="2" borderId="29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0" fillId="2" borderId="9" xfId="0" applyFont="1" applyFill="1" applyBorder="1" applyAlignment="1">
      <alignment vertical="center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50" fillId="2" borderId="39" xfId="0" applyFont="1" applyFill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55" fillId="0" borderId="0" xfId="0" applyFont="1" applyAlignment="1" applyProtection="1">
      <alignment vertical="center"/>
      <protection locked="0"/>
    </xf>
    <xf numFmtId="0" fontId="54" fillId="0" borderId="1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3" fillId="0" borderId="27" xfId="0" applyFont="1" applyBorder="1" applyAlignment="1" applyProtection="1">
      <alignment vertical="center"/>
      <protection locked="0"/>
    </xf>
    <xf numFmtId="0" fontId="53" fillId="2" borderId="14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53" fillId="2" borderId="20" xfId="0" applyFont="1" applyFill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/>
    </xf>
    <xf numFmtId="46" fontId="56" fillId="0" borderId="0" xfId="0" applyNumberFormat="1" applyFont="1" applyFill="1" applyAlignment="1" applyProtection="1">
      <alignment vertical="center"/>
    </xf>
    <xf numFmtId="0" fontId="57" fillId="0" borderId="0" xfId="0" applyFont="1" applyAlignment="1" applyProtection="1">
      <alignment horizontal="right" vertical="center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3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8" fillId="7" borderId="27" xfId="0" applyFont="1" applyFill="1" applyBorder="1" applyAlignment="1" applyProtection="1">
      <alignment horizontal="center" vertical="center"/>
      <protection locked="0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37" fillId="3" borderId="7" xfId="0" applyFont="1" applyFill="1" applyBorder="1" applyAlignment="1" applyProtection="1">
      <alignment horizontal="center" vertical="center"/>
      <protection locked="0"/>
    </xf>
    <xf numFmtId="0" fontId="37" fillId="3" borderId="8" xfId="0" applyFont="1" applyFill="1" applyBorder="1" applyAlignment="1" applyProtection="1">
      <alignment horizontal="center" vertical="center"/>
      <protection locked="0"/>
    </xf>
    <xf numFmtId="0" fontId="31" fillId="16" borderId="23" xfId="0" applyFont="1" applyFill="1" applyBorder="1" applyAlignment="1" applyProtection="1">
      <alignment horizontal="center" vertical="center" textRotation="90"/>
      <protection locked="0"/>
    </xf>
    <xf numFmtId="0" fontId="31" fillId="16" borderId="25" xfId="0" applyFont="1" applyFill="1" applyBorder="1" applyAlignment="1" applyProtection="1">
      <alignment horizontal="center" vertical="center" textRotation="90"/>
      <protection locked="0"/>
    </xf>
    <xf numFmtId="0" fontId="31" fillId="16" borderId="24" xfId="0" applyFont="1" applyFill="1" applyBorder="1" applyAlignment="1" applyProtection="1">
      <alignment horizontal="center" vertical="center" textRotation="90"/>
      <protection locked="0"/>
    </xf>
    <xf numFmtId="0" fontId="36" fillId="3" borderId="8" xfId="0" applyFont="1" applyFill="1" applyBorder="1" applyAlignment="1" applyProtection="1">
      <alignment horizontal="center" vertical="center"/>
      <protection hidden="1"/>
    </xf>
    <xf numFmtId="0" fontId="36" fillId="3" borderId="21" xfId="0" applyFont="1" applyFill="1" applyBorder="1" applyAlignment="1" applyProtection="1">
      <alignment horizontal="center" vertical="center"/>
      <protection hidden="1"/>
    </xf>
    <xf numFmtId="14" fontId="36" fillId="6" borderId="8" xfId="0" applyNumberFormat="1" applyFont="1" applyFill="1" applyBorder="1" applyAlignment="1" applyProtection="1">
      <alignment horizontal="center" vertical="center"/>
      <protection locked="0"/>
    </xf>
    <xf numFmtId="0" fontId="37" fillId="3" borderId="30" xfId="0" applyFont="1" applyFill="1" applyBorder="1" applyAlignment="1" applyProtection="1">
      <alignment horizontal="center" vertical="center" wrapText="1"/>
      <protection locked="0"/>
    </xf>
    <xf numFmtId="0" fontId="37" fillId="3" borderId="8" xfId="0" applyFont="1" applyFill="1" applyBorder="1" applyAlignment="1" applyProtection="1">
      <alignment horizontal="center" vertical="center" wrapText="1"/>
      <protection locked="0"/>
    </xf>
    <xf numFmtId="0" fontId="8" fillId="2" borderId="7" xfId="0" applyFont="1" applyFill="1" applyBorder="1" applyAlignment="1" applyProtection="1">
      <alignment horizontal="center" vertical="center" wrapText="1"/>
      <protection locked="0"/>
    </xf>
    <xf numFmtId="0" fontId="8" fillId="2" borderId="8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8" fillId="14" borderId="23" xfId="0" applyFont="1" applyFill="1" applyBorder="1" applyAlignment="1" applyProtection="1">
      <alignment horizontal="center" vertical="center" wrapText="1"/>
      <protection locked="0"/>
    </xf>
    <xf numFmtId="0" fontId="8" fillId="14" borderId="24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46" fontId="5" fillId="0" borderId="23" xfId="0" applyNumberFormat="1" applyFont="1" applyBorder="1" applyAlignment="1" applyProtection="1">
      <alignment horizontal="center" vertical="center" wrapText="1"/>
      <protection locked="0"/>
    </xf>
    <xf numFmtId="46" fontId="5" fillId="0" borderId="25" xfId="0" applyNumberFormat="1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2" xfId="0" applyFont="1" applyFill="1" applyBorder="1" applyAlignment="1" applyProtection="1">
      <alignment horizontal="center" vertical="center" wrapText="1"/>
      <protection locked="0"/>
    </xf>
    <xf numFmtId="0" fontId="12" fillId="2" borderId="3" xfId="0" applyFont="1" applyFill="1" applyBorder="1" applyAlignment="1" applyProtection="1">
      <alignment horizontal="center" vertical="center" wrapText="1"/>
      <protection locked="0"/>
    </xf>
    <xf numFmtId="0" fontId="12" fillId="2" borderId="9" xfId="0" applyFont="1" applyFill="1" applyBorder="1" applyAlignment="1" applyProtection="1">
      <alignment horizontal="center" vertical="center" wrapText="1"/>
      <protection locked="0"/>
    </xf>
    <xf numFmtId="0" fontId="12" fillId="2" borderId="0" xfId="0" applyFont="1" applyFill="1" applyBorder="1" applyAlignment="1" applyProtection="1">
      <alignment horizontal="center" vertical="center" wrapText="1"/>
      <protection locked="0"/>
    </xf>
    <xf numFmtId="0" fontId="12" fillId="2" borderId="27" xfId="0" applyFont="1" applyFill="1" applyBorder="1" applyAlignment="1" applyProtection="1">
      <alignment horizontal="center" vertical="center" wrapText="1"/>
      <protection locked="0"/>
    </xf>
    <xf numFmtId="0" fontId="6" fillId="14" borderId="23" xfId="0" applyFont="1" applyFill="1" applyBorder="1" applyAlignment="1" applyProtection="1">
      <alignment horizontal="center" vertical="center" textRotation="90" wrapText="1"/>
      <protection locked="0"/>
    </xf>
    <xf numFmtId="0" fontId="6" fillId="14" borderId="25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3" borderId="8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 vertical="center" textRotation="90"/>
      <protection locked="0"/>
    </xf>
    <xf numFmtId="0" fontId="8" fillId="0" borderId="24" xfId="0" applyFont="1" applyBorder="1" applyAlignment="1" applyProtection="1">
      <alignment horizontal="center" vertical="center" textRotation="90"/>
      <protection locked="0"/>
    </xf>
    <xf numFmtId="49" fontId="32" fillId="4" borderId="23" xfId="0" applyNumberFormat="1" applyFont="1" applyFill="1" applyBorder="1" applyAlignment="1" applyProtection="1">
      <alignment horizontal="center" vertical="center" textRotation="90"/>
      <protection locked="0"/>
    </xf>
    <xf numFmtId="49" fontId="32" fillId="4" borderId="25" xfId="0" applyNumberFormat="1" applyFont="1" applyFill="1" applyBorder="1" applyAlignment="1" applyProtection="1">
      <alignment horizontal="center" vertical="center" textRotation="90"/>
      <protection locked="0"/>
    </xf>
    <xf numFmtId="0" fontId="3" fillId="7" borderId="9" xfId="0" applyFont="1" applyFill="1" applyBorder="1" applyAlignment="1" applyProtection="1">
      <alignment horizontal="center" vertical="center"/>
      <protection locked="0"/>
    </xf>
    <xf numFmtId="0" fontId="3" fillId="7" borderId="27" xfId="0" applyFont="1" applyFill="1" applyBorder="1" applyAlignment="1" applyProtection="1">
      <alignment horizontal="center" vertical="center"/>
      <protection locked="0"/>
    </xf>
    <xf numFmtId="0" fontId="11" fillId="8" borderId="7" xfId="0" applyFont="1" applyFill="1" applyBorder="1" applyAlignment="1" applyProtection="1">
      <alignment horizontal="center" vertical="center"/>
      <protection locked="0"/>
    </xf>
    <xf numFmtId="0" fontId="11" fillId="8" borderId="10" xfId="0" applyFont="1" applyFill="1" applyBorder="1" applyAlignment="1" applyProtection="1">
      <alignment horizontal="center" vertical="center"/>
      <protection locked="0"/>
    </xf>
    <xf numFmtId="0" fontId="11" fillId="8" borderId="11" xfId="0" applyFont="1" applyFill="1" applyBorder="1" applyAlignment="1" applyProtection="1">
      <alignment horizontal="center" vertical="center"/>
      <protection locked="0"/>
    </xf>
    <xf numFmtId="0" fontId="11" fillId="8" borderId="47" xfId="0" applyFont="1" applyFill="1" applyBorder="1" applyAlignment="1" applyProtection="1">
      <alignment horizontal="center" vertical="center"/>
      <protection locked="0"/>
    </xf>
    <xf numFmtId="0" fontId="6" fillId="8" borderId="1" xfId="0" applyFont="1" applyFill="1" applyBorder="1" applyAlignment="1" applyProtection="1">
      <alignment horizontal="center" vertical="center" wrapText="1"/>
      <protection locked="0"/>
    </xf>
    <xf numFmtId="0" fontId="6" fillId="8" borderId="3" xfId="0" applyFont="1" applyFill="1" applyBorder="1" applyAlignment="1" applyProtection="1">
      <alignment horizontal="center" vertical="center" wrapText="1"/>
      <protection locked="0"/>
    </xf>
    <xf numFmtId="0" fontId="6" fillId="8" borderId="9" xfId="0" applyFont="1" applyFill="1" applyBorder="1" applyAlignment="1" applyProtection="1">
      <alignment horizontal="center" vertical="center" wrapText="1"/>
      <protection locked="0"/>
    </xf>
    <xf numFmtId="0" fontId="6" fillId="8" borderId="27" xfId="0" applyFont="1" applyFill="1" applyBorder="1" applyAlignment="1" applyProtection="1">
      <alignment horizontal="center" vertical="center" wrapText="1"/>
      <protection locked="0"/>
    </xf>
    <xf numFmtId="0" fontId="6" fillId="8" borderId="4" xfId="0" applyFont="1" applyFill="1" applyBorder="1" applyAlignment="1" applyProtection="1">
      <alignment horizontal="center" vertical="center" wrapText="1"/>
      <protection locked="0"/>
    </xf>
    <xf numFmtId="0" fontId="6" fillId="8" borderId="6" xfId="0" applyFont="1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8" fillId="8" borderId="2" xfId="0" applyFont="1" applyFill="1" applyBorder="1" applyAlignment="1" applyProtection="1">
      <alignment horizontal="center" vertical="center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5" xfId="0" applyFont="1" applyFill="1" applyBorder="1" applyAlignment="1" applyProtection="1">
      <alignment horizontal="center" vertical="center"/>
      <protection locked="0"/>
    </xf>
    <xf numFmtId="0" fontId="8" fillId="8" borderId="6" xfId="0" applyFont="1" applyFill="1" applyBorder="1" applyAlignment="1" applyProtection="1">
      <alignment horizontal="center" vertical="center"/>
      <protection locked="0"/>
    </xf>
    <xf numFmtId="0" fontId="11" fillId="8" borderId="40" xfId="0" applyFont="1" applyFill="1" applyBorder="1" applyAlignment="1" applyProtection="1">
      <alignment horizontal="center" vertical="center"/>
      <protection locked="0"/>
    </xf>
    <xf numFmtId="0" fontId="11" fillId="8" borderId="46" xfId="0" applyFont="1" applyFill="1" applyBorder="1" applyAlignment="1" applyProtection="1">
      <alignment horizontal="center" vertical="center"/>
      <protection locked="0"/>
    </xf>
    <xf numFmtId="0" fontId="58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Fill="1" applyBorder="1" applyAlignment="1" applyProtection="1">
      <alignment horizontal="center" vertical="center" wrapText="1"/>
      <protection locked="0"/>
    </xf>
    <xf numFmtId="0" fontId="7" fillId="0" borderId="9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27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3" fillId="0" borderId="27" xfId="0" applyFont="1" applyBorder="1" applyAlignment="1" applyProtection="1">
      <alignment horizontal="left" vertical="top" wrapText="1"/>
      <protection locked="0"/>
    </xf>
    <xf numFmtId="0" fontId="3" fillId="0" borderId="4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 applyProtection="1">
      <alignment horizontal="left" vertical="top" wrapText="1"/>
      <protection locked="0"/>
    </xf>
    <xf numFmtId="0" fontId="3" fillId="0" borderId="6" xfId="0" applyFont="1" applyBorder="1" applyAlignment="1" applyProtection="1">
      <alignment horizontal="left" vertical="top" wrapText="1"/>
      <protection locked="0"/>
    </xf>
    <xf numFmtId="0" fontId="20" fillId="0" borderId="23" xfId="0" applyFont="1" applyBorder="1" applyAlignment="1" applyProtection="1">
      <alignment horizontal="center" vertical="center" wrapText="1"/>
      <protection locked="0"/>
    </xf>
    <xf numFmtId="0" fontId="20" fillId="0" borderId="25" xfId="0" applyFont="1" applyBorder="1" applyAlignment="1" applyProtection="1">
      <alignment horizontal="center" vertical="center" wrapText="1"/>
      <protection locked="0"/>
    </xf>
    <xf numFmtId="0" fontId="20" fillId="0" borderId="24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44" fillId="0" borderId="1" xfId="0" applyFont="1" applyBorder="1" applyAlignment="1" applyProtection="1">
      <alignment horizontal="center" vertical="center" wrapText="1"/>
      <protection locked="0"/>
    </xf>
    <xf numFmtId="0" fontId="44" fillId="0" borderId="2" xfId="0" applyFont="1" applyBorder="1" applyAlignment="1" applyProtection="1">
      <alignment horizontal="center" vertical="center" wrapText="1"/>
      <protection locked="0"/>
    </xf>
    <xf numFmtId="0" fontId="44" fillId="0" borderId="3" xfId="0" applyFont="1" applyBorder="1" applyAlignment="1" applyProtection="1">
      <alignment horizontal="center" vertical="center" wrapText="1"/>
      <protection locked="0"/>
    </xf>
    <xf numFmtId="0" fontId="44" fillId="0" borderId="9" xfId="0" applyFont="1" applyBorder="1" applyAlignment="1" applyProtection="1">
      <alignment horizontal="center" vertical="center" wrapText="1"/>
      <protection locked="0"/>
    </xf>
    <xf numFmtId="0" fontId="44" fillId="0" borderId="0" xfId="0" applyFont="1" applyBorder="1" applyAlignment="1" applyProtection="1">
      <alignment horizontal="center" vertical="center" wrapText="1"/>
      <protection locked="0"/>
    </xf>
    <xf numFmtId="0" fontId="44" fillId="0" borderId="27" xfId="0" applyFont="1" applyBorder="1" applyAlignment="1" applyProtection="1">
      <alignment horizontal="center" vertical="center" wrapText="1"/>
      <protection locked="0"/>
    </xf>
    <xf numFmtId="0" fontId="44" fillId="0" borderId="4" xfId="0" applyFont="1" applyBorder="1" applyAlignment="1" applyProtection="1">
      <alignment horizontal="center" vertical="center" wrapText="1"/>
      <protection locked="0"/>
    </xf>
    <xf numFmtId="0" fontId="44" fillId="0" borderId="5" xfId="0" applyFont="1" applyBorder="1" applyAlignment="1" applyProtection="1">
      <alignment horizontal="center" vertical="center" wrapText="1"/>
      <protection locked="0"/>
    </xf>
    <xf numFmtId="0" fontId="44" fillId="0" borderId="6" xfId="0" applyFont="1" applyBorder="1" applyAlignment="1" applyProtection="1">
      <alignment horizontal="center" vertical="center" wrapText="1"/>
      <protection locked="0"/>
    </xf>
    <xf numFmtId="165" fontId="2" fillId="3" borderId="23" xfId="0" applyNumberFormat="1" applyFont="1" applyFill="1" applyBorder="1" applyAlignment="1" applyProtection="1">
      <alignment horizontal="center" vertical="center"/>
      <protection hidden="1"/>
    </xf>
    <xf numFmtId="165" fontId="2" fillId="3" borderId="24" xfId="0" applyNumberFormat="1" applyFont="1" applyFill="1" applyBorder="1" applyAlignment="1" applyProtection="1">
      <alignment horizontal="center" vertical="center"/>
      <protection hidden="1"/>
    </xf>
    <xf numFmtId="0" fontId="40" fillId="4" borderId="2" xfId="0" applyFont="1" applyFill="1" applyBorder="1" applyAlignment="1" applyProtection="1">
      <alignment horizontal="center" vertical="center" wrapText="1"/>
      <protection locked="0"/>
    </xf>
    <xf numFmtId="0" fontId="40" fillId="4" borderId="5" xfId="0" applyFont="1" applyFill="1" applyBorder="1" applyAlignment="1" applyProtection="1">
      <alignment horizontal="center" vertical="center" wrapText="1"/>
      <protection locked="0"/>
    </xf>
    <xf numFmtId="0" fontId="2" fillId="8" borderId="23" xfId="0" applyFont="1" applyFill="1" applyBorder="1" applyAlignment="1" applyProtection="1">
      <alignment horizontal="center" vertical="center" wrapText="1"/>
      <protection locked="0"/>
    </xf>
    <xf numFmtId="0" fontId="2" fillId="8" borderId="24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16" fillId="0" borderId="2" xfId="0" applyFont="1" applyBorder="1" applyAlignment="1" applyProtection="1">
      <alignment horizontal="center" vertical="center" wrapText="1"/>
      <protection hidden="1"/>
    </xf>
    <xf numFmtId="0" fontId="16" fillId="0" borderId="4" xfId="0" applyFont="1" applyBorder="1" applyAlignment="1" applyProtection="1">
      <alignment horizontal="center" vertical="center" wrapText="1"/>
      <protection hidden="1"/>
    </xf>
    <xf numFmtId="0" fontId="16" fillId="0" borderId="5" xfId="0" applyFont="1" applyBorder="1" applyAlignment="1" applyProtection="1">
      <alignment horizontal="center" vertical="center" wrapText="1"/>
      <protection hidden="1"/>
    </xf>
    <xf numFmtId="0" fontId="14" fillId="8" borderId="23" xfId="0" applyFont="1" applyFill="1" applyBorder="1" applyAlignment="1" applyProtection="1">
      <alignment horizontal="center" vertical="center" wrapText="1"/>
      <protection locked="0"/>
    </xf>
    <xf numFmtId="0" fontId="14" fillId="8" borderId="24" xfId="0" applyFont="1" applyFill="1" applyBorder="1" applyAlignment="1" applyProtection="1">
      <alignment horizontal="center" vertical="center" wrapText="1"/>
      <protection locked="0"/>
    </xf>
    <xf numFmtId="167" fontId="16" fillId="3" borderId="1" xfId="0" applyNumberFormat="1" applyFont="1" applyFill="1" applyBorder="1" applyAlignment="1" applyProtection="1">
      <alignment horizontal="center" vertical="center" wrapText="1"/>
    </xf>
    <xf numFmtId="167" fontId="16" fillId="3" borderId="3" xfId="0" applyNumberFormat="1" applyFont="1" applyFill="1" applyBorder="1" applyAlignment="1" applyProtection="1">
      <alignment horizontal="center" vertical="center" wrapText="1"/>
    </xf>
    <xf numFmtId="167" fontId="16" fillId="3" borderId="9" xfId="0" applyNumberFormat="1" applyFont="1" applyFill="1" applyBorder="1" applyAlignment="1" applyProtection="1">
      <alignment horizontal="center" vertical="center" wrapText="1"/>
    </xf>
    <xf numFmtId="167" fontId="16" fillId="3" borderId="27" xfId="0" applyNumberFormat="1" applyFont="1" applyFill="1" applyBorder="1" applyAlignment="1" applyProtection="1">
      <alignment horizontal="center" vertical="center" wrapText="1"/>
    </xf>
    <xf numFmtId="167" fontId="16" fillId="3" borderId="4" xfId="0" applyNumberFormat="1" applyFont="1" applyFill="1" applyBorder="1" applyAlignment="1" applyProtection="1">
      <alignment horizontal="center" vertical="center" wrapText="1"/>
    </xf>
    <xf numFmtId="167" fontId="16" fillId="3" borderId="6" xfId="0" applyNumberFormat="1" applyFont="1" applyFill="1" applyBorder="1" applyAlignment="1" applyProtection="1">
      <alignment horizontal="center" vertical="center" wrapText="1"/>
    </xf>
    <xf numFmtId="49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9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/>
    </xf>
  </cellXfs>
  <cellStyles count="3">
    <cellStyle name="Neutral" xfId="2" builtinId="28"/>
    <cellStyle name="Normal" xfId="0" builtinId="0"/>
    <cellStyle name="Normal 2" xfId="1" xr:uid="{00000000-0005-0000-0000-000002000000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[h]:mm"/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7" formatCode="dd/mm/yyyy\ hh:mm"/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FFFF0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protection locked="0" hidden="0"/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158749</xdr:colOff>
      <xdr:row>7</xdr:row>
      <xdr:rowOff>55485</xdr:rowOff>
    </xdr:from>
    <xdr:to>
      <xdr:col>22</xdr:col>
      <xdr:colOff>247678</xdr:colOff>
      <xdr:row>8</xdr:row>
      <xdr:rowOff>58988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8166" y="1388985"/>
          <a:ext cx="1006928" cy="48652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05F6B6-920A-430A-A445-FB39938A9901}" name="Table1_1" displayName="Table1_1" ref="A1:A22" totalsRowShown="0">
  <autoFilter ref="A1:A22" xr:uid="{2E05F6B6-920A-430A-A445-FB39938A9901}"/>
  <tableColumns count="1">
    <tableColumn id="1" xr3:uid="{C5ED66E3-AD3A-40DD-8B2F-0DD62BCDC0C1}" uniqueName="1" name="Column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ExternalData_1" displayName="Table_ExternalData_1" ref="BO85:BT843" totalsRowShown="0" headerRowDxfId="14" dataDxfId="13">
  <autoFilter ref="BO85:BT843" xr:uid="{00000000-0009-0000-0100-000002000000}"/>
  <sortState xmlns:xlrd2="http://schemas.microsoft.com/office/spreadsheetml/2017/richdata2" ref="BO86:BT843">
    <sortCondition ref="BT92:BT791"/>
  </sortState>
  <tableColumns count="6">
    <tableColumn id="1" xr3:uid="{00000000-0010-0000-0000-000001000000}" uniqueName="1" name="Department" dataDxfId="12"/>
    <tableColumn id="3" xr3:uid="{00000000-0010-0000-0000-000003000000}" uniqueName="3" name="Description" dataDxfId="11"/>
    <tableColumn id="4" xr3:uid="{00000000-0010-0000-0000-000004000000}" uniqueName="4" name="OrderDate" dataDxfId="10"/>
    <tableColumn id="5" xr3:uid="{00000000-0010-0000-0000-000005000000}" uniqueName="5" name="OrderType" dataDxfId="9"/>
    <tableColumn id="6" xr3:uid="{00000000-0010-0000-0000-000006000000}" uniqueName="6" name="Customer" dataDxfId="8"/>
    <tableColumn id="2" xr3:uid="{00000000-0010-0000-0000-000002000000}" uniqueName="2" name="JobNo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ExternalData_2" displayName="Table_ExternalData_2" ref="BH85:BL266" totalsRowShown="0" headerRowDxfId="6" dataDxfId="5">
  <autoFilter ref="BH85:BL266" xr:uid="{00000000-0009-0000-0100-000003000000}"/>
  <tableColumns count="5">
    <tableColumn id="1" xr3:uid="{00000000-0010-0000-0100-000001000000}" uniqueName="1" name="NetName" dataDxfId="4"/>
    <tableColumn id="2" xr3:uid="{00000000-0010-0000-0100-000002000000}" uniqueName="2" name="FullName" dataDxfId="3"/>
    <tableColumn id="3" xr3:uid="{00000000-0010-0000-0100-000003000000}" uniqueName="3" name="EmpNo" dataDxfId="2"/>
    <tableColumn id="4" xr3:uid="{00000000-0010-0000-0100-000004000000}" uniqueName="4" name="ContractHrs" dataDxfId="1"/>
    <tableColumn id="5" xr3:uid="{00000000-0010-0000-0100-000005000000}" uniqueName="5" name="Depart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0D19-F9C7-4C1D-A925-F0A2A7BDD702}">
  <dimension ref="A1:A9"/>
  <sheetViews>
    <sheetView workbookViewId="0">
      <selection activeCell="B29" sqref="B29"/>
    </sheetView>
  </sheetViews>
  <sheetFormatPr defaultRowHeight="13.2" x14ac:dyDescent="0.25"/>
  <cols>
    <col min="1" max="1" width="11.33203125" bestFit="1" customWidth="1"/>
  </cols>
  <sheetData>
    <row r="1" spans="1:1" x14ac:dyDescent="0.25">
      <c r="A1" t="s">
        <v>2152</v>
      </c>
    </row>
    <row r="9" spans="1:1" x14ac:dyDescent="0.25">
      <c r="A9" t="s">
        <v>19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CA843"/>
  <sheetViews>
    <sheetView showGridLines="0" tabSelected="1" view="pageBreakPreview" zoomScale="85" zoomScaleNormal="70" zoomScaleSheetLayoutView="85" zoomScalePageLayoutView="70" workbookViewId="0">
      <selection activeCell="U20" sqref="U20"/>
    </sheetView>
  </sheetViews>
  <sheetFormatPr defaultColWidth="9.109375" defaultRowHeight="13.8" x14ac:dyDescent="0.3"/>
  <cols>
    <col min="1" max="1" width="4.109375" style="2" customWidth="1"/>
    <col min="2" max="2" width="15" style="2" customWidth="1"/>
    <col min="3" max="3" width="12" style="2" bestFit="1" customWidth="1"/>
    <col min="4" max="6" width="7.88671875" style="2" customWidth="1"/>
    <col min="7" max="7" width="8.88671875" style="2" customWidth="1"/>
    <col min="8" max="8" width="9.109375" style="2" customWidth="1"/>
    <col min="9" max="9" width="7.44140625" style="2" customWidth="1"/>
    <col min="10" max="10" width="6.5546875" style="2" customWidth="1"/>
    <col min="11" max="11" width="9.109375" style="2" customWidth="1"/>
    <col min="12" max="16" width="6.5546875" style="2" customWidth="1"/>
    <col min="17" max="17" width="9.44140625" style="2" customWidth="1"/>
    <col min="18" max="24" width="6.5546875" style="2" customWidth="1"/>
    <col min="25" max="25" width="14.6640625" style="2" customWidth="1"/>
    <col min="26" max="26" width="11.109375" style="2" customWidth="1"/>
    <col min="27" max="27" width="12.88671875" style="2" customWidth="1"/>
    <col min="28" max="28" width="7.5546875" style="2" customWidth="1"/>
    <col min="29" max="29" width="4" style="2" customWidth="1"/>
    <col min="30" max="30" width="9.109375" style="2" customWidth="1"/>
    <col min="31" max="31" width="41.44140625" style="2" customWidth="1"/>
    <col min="32" max="47" width="11.88671875" style="2" customWidth="1"/>
    <col min="48" max="49" width="3" style="2" bestFit="1" customWidth="1"/>
    <col min="50" max="50" width="7.6640625" style="2" bestFit="1" customWidth="1"/>
    <col min="51" max="52" width="9.109375" style="2" customWidth="1"/>
    <col min="53" max="53" width="2" style="2" bestFit="1" customWidth="1"/>
    <col min="54" max="54" width="4.44140625" style="2" bestFit="1" customWidth="1"/>
    <col min="55" max="55" width="26" style="2" bestFit="1" customWidth="1"/>
    <col min="56" max="56" width="10.5546875" style="2" bestFit="1" customWidth="1"/>
    <col min="57" max="57" width="6.44140625" style="2" bestFit="1" customWidth="1"/>
    <col min="58" max="59" width="3" style="2" bestFit="1" customWidth="1"/>
    <col min="60" max="60" width="11.88671875" style="2" customWidth="1"/>
    <col min="61" max="61" width="19.5546875" style="2" customWidth="1"/>
    <col min="62" max="62" width="9.44140625" style="2" customWidth="1"/>
    <col min="63" max="63" width="13.109375" style="2" customWidth="1"/>
    <col min="64" max="64" width="27.6640625" style="2" customWidth="1"/>
    <col min="65" max="65" width="9.109375" style="2" hidden="1" customWidth="1"/>
    <col min="66" max="66" width="18.5546875" style="2" bestFit="1" customWidth="1"/>
    <col min="67" max="67" width="31.6640625" style="2" customWidth="1"/>
    <col min="68" max="68" width="81.109375" style="2" customWidth="1"/>
    <col min="69" max="69" width="15.88671875" style="2" customWidth="1"/>
    <col min="70" max="70" width="12.44140625" style="2" customWidth="1"/>
    <col min="71" max="71" width="81.109375" style="2" customWidth="1"/>
    <col min="72" max="72" width="12.44140625" style="2" customWidth="1"/>
    <col min="73" max="73" width="80.88671875" style="2" hidden="1" customWidth="1"/>
    <col min="74" max="74" width="11.88671875" style="2" hidden="1" customWidth="1"/>
    <col min="75" max="76" width="9.109375" style="2" hidden="1" customWidth="1"/>
    <col min="77" max="77" width="16.44140625" style="2" hidden="1" customWidth="1"/>
    <col min="78" max="78" width="7.109375" style="2" bestFit="1" customWidth="1"/>
    <col min="79" max="79" width="3" style="2" bestFit="1" customWidth="1"/>
    <col min="80" max="80" width="3" style="2" customWidth="1"/>
    <col min="81" max="106" width="9.109375" style="2" customWidth="1"/>
    <col min="107" max="107" width="2.44140625" style="2" customWidth="1"/>
    <col min="108" max="108" width="3.44140625" style="2" customWidth="1"/>
    <col min="109" max="109" width="4" style="2" customWidth="1"/>
    <col min="110" max="110" width="8.109375" style="2" customWidth="1"/>
    <col min="111" max="471" width="9.109375" style="2" customWidth="1"/>
    <col min="472" max="16384" width="9.109375" style="2"/>
  </cols>
  <sheetData>
    <row r="2" spans="2:48" ht="16.5" customHeight="1" x14ac:dyDescent="0.3">
      <c r="B2" s="264" t="s">
        <v>0</v>
      </c>
      <c r="C2" s="277" t="s">
        <v>960</v>
      </c>
      <c r="D2" s="277"/>
      <c r="E2" s="277"/>
      <c r="F2" s="277"/>
      <c r="G2" s="277"/>
      <c r="H2" s="277"/>
      <c r="I2" s="277"/>
      <c r="J2" s="277"/>
      <c r="K2" s="124"/>
      <c r="L2" s="129"/>
      <c r="M2" s="129"/>
      <c r="N2" s="129"/>
      <c r="O2" s="129"/>
      <c r="P2" s="129"/>
      <c r="Q2" s="129"/>
      <c r="R2" s="129"/>
      <c r="S2" s="124"/>
      <c r="T2" s="124"/>
      <c r="U2" s="124"/>
      <c r="V2" s="124"/>
      <c r="W2" s="124"/>
      <c r="X2" s="124"/>
      <c r="Y2" s="124"/>
      <c r="Z2" s="124"/>
      <c r="AA2" s="124"/>
      <c r="AB2" s="124"/>
    </row>
    <row r="3" spans="2:48" ht="15" customHeight="1" x14ac:dyDescent="0.3">
      <c r="B3" s="264"/>
      <c r="C3" s="277" t="s">
        <v>827</v>
      </c>
      <c r="D3" s="277"/>
      <c r="E3" s="277"/>
      <c r="F3" s="277"/>
      <c r="G3" s="277"/>
      <c r="H3" s="277"/>
      <c r="I3" s="277"/>
      <c r="J3" s="277"/>
      <c r="K3" s="277"/>
      <c r="L3" s="277"/>
      <c r="M3" s="129"/>
      <c r="N3" s="129"/>
      <c r="O3" s="129"/>
      <c r="P3" s="129"/>
      <c r="Q3" s="129"/>
      <c r="R3" s="129"/>
      <c r="AD3" s="11"/>
      <c r="AE3" s="11"/>
      <c r="AF3" s="11"/>
    </row>
    <row r="4" spans="2:48" ht="15" customHeight="1" x14ac:dyDescent="0.3">
      <c r="B4" s="264"/>
      <c r="C4" s="277" t="s">
        <v>958</v>
      </c>
      <c r="D4" s="277"/>
      <c r="E4" s="277"/>
      <c r="F4" s="277"/>
      <c r="G4" s="277"/>
      <c r="H4" s="277"/>
      <c r="I4" s="277"/>
      <c r="J4" s="277"/>
      <c r="K4" s="277"/>
      <c r="L4" s="129"/>
      <c r="M4" s="129"/>
      <c r="N4" s="129"/>
      <c r="O4" s="129"/>
      <c r="P4" s="129"/>
      <c r="Q4" s="129"/>
      <c r="R4" s="129"/>
      <c r="AD4" s="11"/>
      <c r="AE4" s="11"/>
      <c r="AF4" s="11"/>
    </row>
    <row r="5" spans="2:48" ht="15" customHeight="1" x14ac:dyDescent="0.3">
      <c r="B5" s="264"/>
      <c r="C5" s="277" t="s">
        <v>959</v>
      </c>
      <c r="D5" s="277"/>
      <c r="E5" s="277"/>
      <c r="F5" s="277"/>
      <c r="G5" s="129"/>
      <c r="H5" s="129"/>
      <c r="I5" s="129"/>
      <c r="J5" s="129"/>
      <c r="K5" s="129"/>
      <c r="L5" s="129"/>
      <c r="P5" s="123"/>
      <c r="Q5" s="123"/>
      <c r="R5" s="123"/>
      <c r="AD5" s="11"/>
      <c r="AE5" s="11"/>
      <c r="AF5" s="11"/>
      <c r="AG5" s="11"/>
      <c r="AH5" s="11"/>
    </row>
    <row r="6" spans="2:48" ht="15" customHeight="1" x14ac:dyDescent="0.35">
      <c r="B6" s="128" t="s">
        <v>1</v>
      </c>
      <c r="C6" s="275" t="s">
        <v>2</v>
      </c>
      <c r="D6" s="275"/>
      <c r="E6" s="275"/>
      <c r="F6" s="275"/>
      <c r="G6" s="275"/>
      <c r="H6" s="275"/>
      <c r="I6" s="275"/>
      <c r="J6" s="275"/>
      <c r="K6" s="275"/>
      <c r="AD6" s="11"/>
      <c r="AE6" s="11"/>
      <c r="AF6" s="11"/>
      <c r="AG6" s="11"/>
      <c r="AH6" s="11"/>
    </row>
    <row r="7" spans="2:48" ht="15" customHeight="1" x14ac:dyDescent="0.3">
      <c r="AD7" s="11"/>
      <c r="AE7" s="11"/>
      <c r="AF7" s="11"/>
      <c r="AG7" s="11"/>
      <c r="AH7" s="11"/>
    </row>
    <row r="8" spans="2:48" ht="38.25" customHeight="1" x14ac:dyDescent="0.3">
      <c r="B8" s="248" t="s">
        <v>3</v>
      </c>
      <c r="C8" s="248"/>
      <c r="D8" s="248"/>
      <c r="E8" s="248"/>
      <c r="F8" s="248"/>
      <c r="G8" s="248"/>
      <c r="H8" s="61"/>
      <c r="I8" s="237">
        <v>1.5625</v>
      </c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248"/>
      <c r="V8" s="248"/>
      <c r="W8" s="61"/>
      <c r="X8" s="61"/>
      <c r="Y8" s="238" t="s">
        <v>4</v>
      </c>
      <c r="Z8" s="152"/>
      <c r="AA8" s="1"/>
      <c r="AD8" s="11"/>
      <c r="AE8" s="11"/>
      <c r="AF8" s="11"/>
      <c r="AG8" s="11"/>
      <c r="AH8" s="11"/>
    </row>
    <row r="9" spans="2:48" ht="8.25" customHeight="1" thickBot="1" x14ac:dyDescent="0.35">
      <c r="B9" s="14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D9" s="11"/>
      <c r="AE9" s="11"/>
      <c r="AF9" s="11"/>
      <c r="AG9" s="11"/>
      <c r="AH9" s="11"/>
    </row>
    <row r="10" spans="2:48" s="11" customFormat="1" ht="27.6" customHeight="1" thickBot="1" x14ac:dyDescent="0.35">
      <c r="B10" s="109" t="s">
        <v>5</v>
      </c>
      <c r="C10" s="276" t="s">
        <v>2046</v>
      </c>
      <c r="D10" s="276"/>
      <c r="E10" s="276"/>
      <c r="F10" s="276"/>
      <c r="G10" s="119" t="s">
        <v>6</v>
      </c>
      <c r="H10" s="254" t="str">
        <f>IFERROR(VLOOKUP(C10,Emp,4,FALSE),"Please Type Here")</f>
        <v>Technical Support</v>
      </c>
      <c r="I10" s="254"/>
      <c r="J10" s="254"/>
      <c r="K10" s="254"/>
      <c r="L10" s="255"/>
      <c r="M10" s="130" t="s">
        <v>7</v>
      </c>
      <c r="N10" s="254">
        <f>IFERROR(VLOOKUP(C10,Emp,2,FALSE),"")</f>
        <v>461</v>
      </c>
      <c r="O10" s="255"/>
      <c r="P10" s="257" t="s">
        <v>8</v>
      </c>
      <c r="Q10" s="258"/>
      <c r="R10" s="256">
        <v>46181</v>
      </c>
      <c r="S10" s="256"/>
      <c r="T10" s="16"/>
      <c r="U10" s="249" t="s">
        <v>824</v>
      </c>
      <c r="V10" s="250"/>
      <c r="W10" s="126">
        <f>IFERROR(VLOOKUP(R10,Week,2,FALSE),"")</f>
        <v>46</v>
      </c>
      <c r="X10" s="127">
        <f>IFERROR(VLOOKUP(R10,CalWk,4,FALSE),"")</f>
        <v>7</v>
      </c>
      <c r="Y10" s="120" t="s">
        <v>9</v>
      </c>
      <c r="Z10" s="125">
        <f>IFERROR(VLOOKUP(R10,Week,3,FALSE),"")</f>
        <v>12</v>
      </c>
      <c r="AA10" s="3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2:48" ht="15.6" customHeight="1" thickBot="1" x14ac:dyDescent="0.35">
      <c r="B11" s="122" t="s">
        <v>10</v>
      </c>
      <c r="C11" s="267" t="s">
        <v>11</v>
      </c>
      <c r="D11" s="268"/>
      <c r="E11" s="269"/>
      <c r="F11" s="273" t="s">
        <v>12</v>
      </c>
      <c r="G11" s="114" t="s">
        <v>13</v>
      </c>
      <c r="H11" s="114" t="s">
        <v>13</v>
      </c>
      <c r="I11" s="114" t="s">
        <v>13</v>
      </c>
      <c r="J11" s="114" t="s">
        <v>13</v>
      </c>
      <c r="K11" s="114" t="s">
        <v>13</v>
      </c>
      <c r="L11" s="114" t="s">
        <v>13</v>
      </c>
      <c r="M11" s="114" t="s">
        <v>13</v>
      </c>
      <c r="N11" s="114" t="s">
        <v>13</v>
      </c>
      <c r="O11" s="114" t="s">
        <v>13</v>
      </c>
      <c r="P11" s="114" t="s">
        <v>13</v>
      </c>
      <c r="Q11" s="114" t="s">
        <v>13</v>
      </c>
      <c r="R11" s="114" t="s">
        <v>13</v>
      </c>
      <c r="S11" s="114" t="s">
        <v>13</v>
      </c>
      <c r="T11" s="114" t="s">
        <v>13</v>
      </c>
      <c r="U11" s="114" t="s">
        <v>13</v>
      </c>
      <c r="V11" s="280" t="s">
        <v>14</v>
      </c>
      <c r="W11" s="280" t="s">
        <v>15</v>
      </c>
      <c r="X11" s="280" t="s">
        <v>16</v>
      </c>
      <c r="Y11" s="352" t="s">
        <v>17</v>
      </c>
      <c r="Z11" s="353"/>
      <c r="AA11" s="6"/>
      <c r="AD11" s="11"/>
      <c r="AE11" s="11"/>
      <c r="AF11" s="11"/>
      <c r="AG11" s="11"/>
      <c r="AH11" s="11"/>
      <c r="AU11" s="11"/>
      <c r="AV11" s="11"/>
    </row>
    <row r="12" spans="2:48" ht="38.25" customHeight="1" x14ac:dyDescent="0.3">
      <c r="B12" s="265" t="s">
        <v>18</v>
      </c>
      <c r="C12" s="270"/>
      <c r="D12" s="271"/>
      <c r="E12" s="272"/>
      <c r="F12" s="274"/>
      <c r="G12" s="251" t="inlineStr">
        <is>
          <t>I4005V</t>
        </is>
      </c>
      <c r="H12" s="251" t="s">
        <v>2175</v>
      </c>
      <c r="I12" s="251" t="inlineStr">
        <is>
          <t>M10265051V</t>
        </is>
      </c>
      <c r="J12" s="251" t="inlineStr">
        <is>
          <t>M11185022V</t>
        </is>
      </c>
      <c r="K12" s="251" t="inlineStr">
        <is>
          <t>I1605V</t>
        </is>
      </c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81"/>
      <c r="W12" s="281"/>
      <c r="X12" s="281"/>
      <c r="Y12" s="354"/>
      <c r="Z12" s="355"/>
      <c r="AA12" s="4"/>
      <c r="AD12" s="11"/>
      <c r="AE12" s="11"/>
      <c r="AF12" s="11"/>
      <c r="AG12" s="11"/>
      <c r="AH12" s="11"/>
    </row>
    <row r="13" spans="2:48" ht="27.75" customHeight="1" x14ac:dyDescent="0.3">
      <c r="B13" s="266"/>
      <c r="C13" s="270"/>
      <c r="D13" s="271"/>
      <c r="E13" s="272"/>
      <c r="F13" s="274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81"/>
      <c r="W13" s="281"/>
      <c r="X13" s="281"/>
      <c r="Y13" s="282" t="s">
        <v>821</v>
      </c>
      <c r="Z13" s="283"/>
      <c r="AA13" s="4"/>
      <c r="AD13" s="11"/>
      <c r="AE13" s="11"/>
      <c r="AF13" s="11"/>
      <c r="AG13" s="11"/>
      <c r="AH13" s="11"/>
    </row>
    <row r="14" spans="2:48" ht="27.75" customHeight="1" x14ac:dyDescent="0.3">
      <c r="B14" s="266"/>
      <c r="C14" s="270"/>
      <c r="D14" s="271"/>
      <c r="E14" s="272"/>
      <c r="F14" s="274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81"/>
      <c r="W14" s="281"/>
      <c r="X14" s="281"/>
      <c r="Y14" s="282" t="s">
        <v>822</v>
      </c>
      <c r="Z14" s="283"/>
      <c r="AA14" s="4"/>
      <c r="AD14" s="11"/>
      <c r="AE14" s="11"/>
      <c r="AF14" s="11"/>
      <c r="AG14" s="11"/>
      <c r="AH14" s="11"/>
    </row>
    <row r="15" spans="2:48" ht="27.75" customHeight="1" x14ac:dyDescent="0.3">
      <c r="B15" s="266"/>
      <c r="C15" s="270"/>
      <c r="D15" s="271"/>
      <c r="E15" s="272"/>
      <c r="F15" s="274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81"/>
      <c r="W15" s="281"/>
      <c r="X15" s="281"/>
      <c r="Y15" s="282" t="s">
        <v>823</v>
      </c>
      <c r="Z15" s="283"/>
      <c r="AA15" s="4"/>
      <c r="AD15" s="11"/>
      <c r="AE15" s="11"/>
      <c r="AF15" s="11"/>
      <c r="AG15" s="11"/>
      <c r="AH15" s="11"/>
    </row>
    <row r="16" spans="2:48" ht="32.4" customHeight="1" thickBot="1" x14ac:dyDescent="0.35">
      <c r="B16" s="266"/>
      <c r="C16" s="270"/>
      <c r="D16" s="271"/>
      <c r="E16" s="272"/>
      <c r="F16" s="274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81"/>
      <c r="W16" s="281"/>
      <c r="X16" s="281"/>
      <c r="Y16" s="282" t="s">
        <v>826</v>
      </c>
      <c r="Z16" s="283"/>
      <c r="AA16" s="4"/>
      <c r="AD16" s="11"/>
      <c r="AE16" s="11"/>
      <c r="AF16" s="11"/>
      <c r="AG16" s="11"/>
      <c r="AH16" s="11"/>
      <c r="AI16" s="10"/>
      <c r="AJ16" s="10"/>
      <c r="AK16" s="10"/>
      <c r="AL16" s="10"/>
      <c r="AQ16" s="10"/>
      <c r="AR16" s="10"/>
      <c r="AS16" s="10"/>
      <c r="AT16" s="10"/>
    </row>
    <row r="17" spans="2:46" ht="15" customHeight="1" thickBot="1" x14ac:dyDescent="0.3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5"/>
      <c r="Z17" s="9"/>
      <c r="AA17" s="4"/>
      <c r="AD17" s="11"/>
      <c r="AE17" s="11"/>
      <c r="AF17" s="11"/>
      <c r="AG17" s="11"/>
      <c r="AH17" s="11"/>
      <c r="AI17" s="10"/>
      <c r="AJ17" s="10"/>
      <c r="AK17" s="10"/>
      <c r="AL17" s="10"/>
      <c r="AQ17" s="10"/>
      <c r="AR17" s="10"/>
      <c r="AS17" s="10"/>
      <c r="AT17" s="10"/>
    </row>
    <row r="18" spans="2:46" s="10" customFormat="1" ht="13.5" customHeight="1" thickBot="1" x14ac:dyDescent="0.35">
      <c r="B18" s="278"/>
      <c r="C18" s="259" t="s">
        <v>20</v>
      </c>
      <c r="D18" s="260"/>
      <c r="E18" s="261"/>
      <c r="F18" s="262" t="s">
        <v>825</v>
      </c>
      <c r="G18" s="336" t="s">
        <v>22</v>
      </c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8" t="s">
        <v>23</v>
      </c>
      <c r="Z18" s="344" t="s">
        <v>24</v>
      </c>
      <c r="AA18" s="154" t="s">
        <v>25</v>
      </c>
      <c r="AB18" s="155" t="s">
        <v>26</v>
      </c>
      <c r="AD18" s="11"/>
      <c r="AE18" s="11"/>
      <c r="AF18" s="11"/>
      <c r="AG18" s="11"/>
      <c r="AH18" s="11"/>
      <c r="AI18" s="11"/>
      <c r="AJ18" s="11"/>
      <c r="AK18" s="11"/>
      <c r="AL18" s="11"/>
      <c r="AM18" s="2"/>
      <c r="AN18" s="2"/>
      <c r="AO18" s="2"/>
      <c r="AP18" s="2"/>
      <c r="AQ18" s="11"/>
      <c r="AR18" s="11"/>
      <c r="AS18" s="11"/>
      <c r="AT18" s="11"/>
    </row>
    <row r="19" spans="2:46" s="10" customFormat="1" ht="31.2" customHeight="1" thickBot="1" x14ac:dyDescent="0.35">
      <c r="B19" s="279"/>
      <c r="C19" s="58" t="s">
        <v>27</v>
      </c>
      <c r="D19" s="59" t="s">
        <v>28</v>
      </c>
      <c r="E19" s="60" t="s">
        <v>29</v>
      </c>
      <c r="F19" s="263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  <c r="V19" s="337"/>
      <c r="W19" s="337"/>
      <c r="X19" s="337"/>
      <c r="Y19" s="339"/>
      <c r="Z19" s="345"/>
      <c r="AA19" s="156"/>
      <c r="AB19" s="157"/>
      <c r="AD19" s="11"/>
      <c r="AE19" s="11"/>
      <c r="AF19" s="11"/>
      <c r="AG19" s="11"/>
      <c r="AH19" s="11"/>
      <c r="AI19" s="11"/>
      <c r="AJ19" s="11"/>
      <c r="AK19" s="11"/>
      <c r="AL19" s="11"/>
      <c r="AM19" s="2"/>
      <c r="AN19" s="2"/>
      <c r="AO19" s="2"/>
      <c r="AP19" s="2"/>
      <c r="AQ19" s="11"/>
      <c r="AR19" s="11"/>
      <c r="AS19" s="11"/>
      <c r="AT19" s="11"/>
    </row>
    <row r="20" spans="2:46" s="11" customFormat="1" ht="27" customHeight="1" x14ac:dyDescent="0.3">
      <c r="B20" s="115" t="s">
        <v>30</v>
      </c>
      <c r="C20" s="183" t="s">
        <v>31</v>
      </c>
      <c r="D20" s="94">
        <v>0</v>
      </c>
      <c r="E20" s="84">
        <f t="shared" ref="E20:E26" si="0">IF(C20="Standard",1.75,IF(C20="",0,IF(C20="Bank Holiday",2.65,IF(C20="Xmas",5.25,IF(C20="Phone Support",1,IF(C20="Phone Support Bank Holiday",1.5,IF(C20="Phone Support Xmas",3,1)))))))</f>
        <v>1.75</v>
      </c>
      <c r="F20" s="85"/>
      <c r="G20" s="171">
        <v>0.125</v>
      </c>
      <c r="H20" s="172">
        <v>0.29166666666666669</v>
      </c>
      <c r="I20" s="172"/>
      <c r="J20" s="172"/>
      <c r="K20" s="172"/>
      <c r="L20" s="173"/>
      <c r="M20" s="173"/>
      <c r="N20" s="172"/>
      <c r="O20" s="172"/>
      <c r="P20" s="172"/>
      <c r="Q20" s="172"/>
      <c r="R20" s="172"/>
      <c r="S20" s="173"/>
      <c r="T20" s="172"/>
      <c r="U20" s="173"/>
      <c r="V20" s="172"/>
      <c r="W20" s="172"/>
      <c r="X20" s="174"/>
      <c r="Y20" s="98">
        <f t="shared" ref="Y20:Y26" si="1">SUM(G20:X20)</f>
        <v>0.3125</v>
      </c>
      <c r="Z20" s="101">
        <f>IF((Y20-AA20)&lt;0,(IF(Y20=0,"00:00","-"&amp;TEXT(AB20,"[h]:MM"))),Y20-AA20)</f>
        <v>0</v>
      </c>
      <c r="AA20" s="170">
        <v>0.3125</v>
      </c>
      <c r="AB20" s="159">
        <f t="shared" ref="AB20:AB26" si="2">IF((Y20-AA20)&lt;0,(AA20-Y20),Y20-AA20)</f>
        <v>0</v>
      </c>
      <c r="AC20" s="18"/>
      <c r="AM20" s="2"/>
      <c r="AN20" s="2"/>
      <c r="AO20" s="2"/>
      <c r="AP20" s="2"/>
    </row>
    <row r="21" spans="2:46" s="11" customFormat="1" ht="27" customHeight="1" x14ac:dyDescent="0.3">
      <c r="B21" s="116" t="s">
        <v>32</v>
      </c>
      <c r="C21" s="183" t="s">
        <v>31</v>
      </c>
      <c r="D21" s="94">
        <v>0</v>
      </c>
      <c r="E21" s="84">
        <f t="shared" si="0"/>
        <v>1.75</v>
      </c>
      <c r="F21" s="86"/>
      <c r="G21" s="175"/>
      <c r="H21" s="176">
        <v>0.19791666666666666</v>
      </c>
      <c r="I21" s="176">
        <v>0.20833333333333334</v>
      </c>
      <c r="J21" s="176"/>
      <c r="K21" s="176"/>
      <c r="L21" s="176"/>
      <c r="M21" s="175"/>
      <c r="N21" s="175"/>
      <c r="O21" s="175"/>
      <c r="P21" s="175"/>
      <c r="Q21" s="175"/>
      <c r="R21" s="176"/>
      <c r="S21" s="176"/>
      <c r="T21" s="176"/>
      <c r="U21" s="176"/>
      <c r="V21" s="176"/>
      <c r="W21" s="176"/>
      <c r="X21" s="177"/>
      <c r="Y21" s="100">
        <f t="shared" si="1"/>
        <v>0.35416666666666663</v>
      </c>
      <c r="Z21" s="101">
        <f>IF((Y21-AA21)&lt;0,(IF(Y21=0,"00:00","-"&amp;TEXT(AB21,"[h]:MM"))),Y21-AA21)</f>
        <v>4.166666666666663E-2</v>
      </c>
      <c r="AA21" s="158">
        <v>0.3125</v>
      </c>
      <c r="AB21" s="159">
        <f t="shared" si="2"/>
        <v>4.166666666666663E-2</v>
      </c>
      <c r="AC21" s="18"/>
      <c r="AM21" s="2"/>
      <c r="AN21" s="2"/>
      <c r="AO21" s="2"/>
      <c r="AP21" s="2"/>
    </row>
    <row r="22" spans="2:46" s="11" customFormat="1" ht="27" customHeight="1" x14ac:dyDescent="0.3">
      <c r="B22" s="116" t="s">
        <v>33</v>
      </c>
      <c r="C22" s="183" t="s">
        <v>31</v>
      </c>
      <c r="D22" s="94">
        <v>0</v>
      </c>
      <c r="E22" s="84">
        <f t="shared" si="0"/>
        <v>1.75</v>
      </c>
      <c r="F22" s="86"/>
      <c r="G22" s="175"/>
      <c r="H22" s="176">
        <v>0.25</v>
      </c>
      <c r="I22" s="176"/>
      <c r="J22" s="176">
        <v>8.3333333333333329E-2</v>
      </c>
      <c r="K22" s="176"/>
      <c r="L22" s="194"/>
      <c r="M22" s="175"/>
      <c r="N22" s="175"/>
      <c r="O22" s="175"/>
      <c r="P22" s="175"/>
      <c r="Q22" s="176"/>
      <c r="R22" s="176"/>
      <c r="S22" s="176"/>
      <c r="T22" s="176"/>
      <c r="U22" s="176"/>
      <c r="V22" s="176"/>
      <c r="W22" s="176"/>
      <c r="X22" s="177"/>
      <c r="Y22" s="100">
        <f t="shared" si="1"/>
        <v>0.35416666666666663</v>
      </c>
      <c r="Z22" s="101">
        <f>IF((Y22-AA22)&lt;0,(IF(Y22=0,"00:00","-"&amp;TEXT(AB22,"[h]:MM"))),Y22-AA22)</f>
        <v>4.166666666666663E-2</v>
      </c>
      <c r="AA22" s="158">
        <v>0.3125</v>
      </c>
      <c r="AB22" s="159">
        <f t="shared" si="2"/>
        <v>4.166666666666663E-2</v>
      </c>
      <c r="AC22" s="18"/>
      <c r="AM22" s="2"/>
      <c r="AN22" s="2"/>
      <c r="AO22" s="2"/>
      <c r="AP22" s="2"/>
    </row>
    <row r="23" spans="2:46" s="11" customFormat="1" ht="27" customHeight="1" x14ac:dyDescent="0.3">
      <c r="B23" s="116" t="s">
        <v>34</v>
      </c>
      <c r="C23" s="183" t="s">
        <v>31</v>
      </c>
      <c r="D23" s="94">
        <v>0</v>
      </c>
      <c r="E23" s="84">
        <f t="shared" si="0"/>
        <v>1.75</v>
      </c>
      <c r="F23" s="86"/>
      <c r="G23" s="175"/>
      <c r="H23" s="176">
        <v>0.25</v>
      </c>
      <c r="I23" s="176"/>
      <c r="J23" s="176"/>
      <c r="K23" s="176">
        <v>0.0625</v>
      </c>
      <c r="L23" s="194"/>
      <c r="M23" s="176"/>
      <c r="N23" s="176"/>
      <c r="O23" s="176"/>
      <c r="P23" s="175"/>
      <c r="Q23" s="176"/>
      <c r="R23" s="176"/>
      <c r="S23" s="176"/>
      <c r="T23" s="176"/>
      <c r="U23" s="176"/>
      <c r="V23" s="176"/>
      <c r="W23" s="176"/>
      <c r="X23" s="177"/>
      <c r="Y23" s="100">
        <f t="shared" si="1"/>
        <v>0.38541666666666669</v>
      </c>
      <c r="Z23" s="101">
        <f>IF((Y23-AA23)&lt;0,(IF(Y23=0,"00:00","-"&amp;TEXT(AB23,"[h]:MM"))),Y23-AA23)</f>
        <v>7.2916666666666685E-2</v>
      </c>
      <c r="AA23" s="158">
        <v>0.3125</v>
      </c>
      <c r="AB23" s="159">
        <f t="shared" si="2"/>
        <v>7.2916666666666685E-2</v>
      </c>
      <c r="AC23" s="18"/>
      <c r="AM23" s="2"/>
      <c r="AN23" s="2"/>
      <c r="AO23" s="2"/>
      <c r="AP23" s="2"/>
    </row>
    <row r="24" spans="2:46" s="11" customFormat="1" ht="27" customHeight="1" thickBot="1" x14ac:dyDescent="0.35">
      <c r="B24" s="117" t="s">
        <v>35</v>
      </c>
      <c r="C24" s="189" t="s">
        <v>31</v>
      </c>
      <c r="D24" s="95">
        <v>0</v>
      </c>
      <c r="E24" s="190">
        <f t="shared" si="0"/>
        <v>1.75</v>
      </c>
      <c r="F24" s="87"/>
      <c r="G24" s="175"/>
      <c r="H24" s="162"/>
      <c r="I24" s="162"/>
      <c r="J24" s="162"/>
      <c r="K24" s="162"/>
      <c r="L24" s="162"/>
      <c r="M24" s="162"/>
      <c r="N24" s="165"/>
      <c r="O24" s="165"/>
      <c r="P24" s="165"/>
      <c r="Q24" s="165"/>
      <c r="R24" s="165"/>
      <c r="S24" s="165"/>
      <c r="T24" s="165"/>
      <c r="U24" s="165"/>
      <c r="V24" s="163">
        <v>0.15625</v>
      </c>
      <c r="W24" s="165"/>
      <c r="X24" s="164"/>
      <c r="Y24" s="102">
        <f t="shared" si="1"/>
        <v>0.15625</v>
      </c>
      <c r="Z24" s="103" t="str">
        <f>IF((Y24-AA24)&lt;0,(IF(Y24=0,"00:00","-"&amp;TEXT(AB24,"[h]:MM"))),Y24-AA24)</f>
        <v>-3:45</v>
      </c>
      <c r="AA24" s="158">
        <v>0.3125</v>
      </c>
      <c r="AB24" s="159">
        <f t="shared" si="2"/>
        <v>0.15625</v>
      </c>
      <c r="AC24" s="18"/>
      <c r="AM24" s="2"/>
      <c r="AN24" s="2"/>
      <c r="AO24" s="2"/>
      <c r="AP24" s="2"/>
    </row>
    <row r="25" spans="2:46" s="11" customFormat="1" ht="27" customHeight="1" x14ac:dyDescent="0.25">
      <c r="B25" s="115" t="s">
        <v>36</v>
      </c>
      <c r="C25" s="183" t="s">
        <v>31</v>
      </c>
      <c r="D25" s="96">
        <v>0</v>
      </c>
      <c r="E25" s="84">
        <f t="shared" si="0"/>
        <v>1.75</v>
      </c>
      <c r="F25" s="88"/>
      <c r="G25" s="171"/>
      <c r="H25" s="173"/>
      <c r="I25" s="172"/>
      <c r="J25" s="173"/>
      <c r="K25" s="173"/>
      <c r="L25" s="173"/>
      <c r="M25" s="173"/>
      <c r="N25" s="172"/>
      <c r="O25" s="172"/>
      <c r="P25" s="173"/>
      <c r="Q25" s="172"/>
      <c r="R25" s="172"/>
      <c r="S25" s="172"/>
      <c r="T25" s="172"/>
      <c r="U25" s="172"/>
      <c r="V25" s="172"/>
      <c r="W25" s="172"/>
      <c r="X25" s="174"/>
      <c r="Y25" s="104">
        <f t="shared" si="1"/>
        <v>0</v>
      </c>
      <c r="Z25" s="99">
        <f>IF((Y25-0)&lt;0,(IF(Y25=0,"00:00:00","-"&amp;TEXT(AB25,"[h]:MM"))),Y25-0)</f>
        <v>0</v>
      </c>
      <c r="AA25" s="158">
        <v>0.3125</v>
      </c>
      <c r="AB25" s="159">
        <f t="shared" si="2"/>
        <v>0.3125</v>
      </c>
      <c r="AC25" s="18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</row>
    <row r="26" spans="2:46" s="11" customFormat="1" ht="27" customHeight="1" thickBot="1" x14ac:dyDescent="0.35">
      <c r="B26" s="118" t="s">
        <v>37</v>
      </c>
      <c r="C26" s="183" t="s">
        <v>31</v>
      </c>
      <c r="D26" s="97">
        <v>0</v>
      </c>
      <c r="E26" s="84">
        <f t="shared" si="0"/>
        <v>1.75</v>
      </c>
      <c r="F26" s="89"/>
      <c r="G26" s="168"/>
      <c r="H26" s="165"/>
      <c r="I26" s="169"/>
      <c r="J26" s="165"/>
      <c r="K26" s="165"/>
      <c r="L26" s="165"/>
      <c r="M26" s="165"/>
      <c r="N26" s="165"/>
      <c r="O26" s="169"/>
      <c r="P26" s="165"/>
      <c r="Q26" s="165"/>
      <c r="R26" s="165"/>
      <c r="S26" s="165"/>
      <c r="T26" s="165"/>
      <c r="U26" s="165"/>
      <c r="V26" s="165"/>
      <c r="W26" s="166"/>
      <c r="X26" s="167"/>
      <c r="Y26" s="105">
        <f t="shared" si="1"/>
        <v>0</v>
      </c>
      <c r="Z26" s="103">
        <f>IF((Y26-0)&lt;0,(IF(Y26=0,"00:00:00","-"&amp;TEXT(AB26,"[h]:MM"))),Y26-0)</f>
        <v>0</v>
      </c>
      <c r="AA26" s="158">
        <v>0.3125</v>
      </c>
      <c r="AB26" s="159">
        <f t="shared" si="2"/>
        <v>0.3125</v>
      </c>
      <c r="AC26" s="18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</row>
    <row r="27" spans="2:46" s="12" customFormat="1" ht="27" customHeight="1" thickBot="1" x14ac:dyDescent="0.35">
      <c r="B27" s="121" t="s">
        <v>888</v>
      </c>
      <c r="C27" s="56"/>
      <c r="D27" s="135">
        <f>SUM(D20:D26)</f>
        <v>0</v>
      </c>
      <c r="E27" s="136">
        <f>(+HOUR(D20)+MINUTE(D20)/60)*(E20)+(+HOUR(D21)+MINUTE(D21)/60)*(E21)+(+HOUR(D22)+MINUTE(D22)/60)*(E22)+(+HOUR(D23)+MINUTE(D23)/60)*(E23)+(+HOUR(D24)+MINUTE(D24)/60)*(E24)+(+HOUR(D25)+MINUTE(D25)/60)*(E25)+(+HOUR(D26)+MINUTE(D26)/60)*(E26)+(BA85)*(E26)+(BA86)*(E25)+(BA87)*(E24)+(BA88)*(E23)+(BA89)*(E22)+(BA90)*(E21)+(BA91)*(E20)</f>
        <v>0</v>
      </c>
      <c r="F27" s="137">
        <f>SUM(F20+F21+F22+F23+F24+F25+F26)*10</f>
        <v>0</v>
      </c>
      <c r="G27" s="108">
        <f>SUM(G20:G26)</f>
        <v>0.125</v>
      </c>
      <c r="H27" s="108">
        <f t="shared" ref="H27:X27" si="3">SUM(H20:H26)</f>
        <v>0.5</v>
      </c>
      <c r="I27" s="108">
        <f t="shared" si="3"/>
        <v>0.46875</v>
      </c>
      <c r="J27" s="108">
        <f t="shared" si="3"/>
        <v>0.15625</v>
      </c>
      <c r="K27" s="108">
        <f t="shared" si="3"/>
        <v>0.3125</v>
      </c>
      <c r="L27" s="108">
        <f t="shared" si="3"/>
        <v>0</v>
      </c>
      <c r="M27" s="108">
        <f t="shared" si="3"/>
        <v>0</v>
      </c>
      <c r="N27" s="108">
        <f t="shared" si="3"/>
        <v>0</v>
      </c>
      <c r="O27" s="108">
        <f t="shared" si="3"/>
        <v>0</v>
      </c>
      <c r="P27" s="108">
        <f t="shared" si="3"/>
        <v>0</v>
      </c>
      <c r="Q27" s="108">
        <f t="shared" si="3"/>
        <v>0</v>
      </c>
      <c r="R27" s="108">
        <f t="shared" si="3"/>
        <v>0</v>
      </c>
      <c r="S27" s="108">
        <f t="shared" si="3"/>
        <v>0</v>
      </c>
      <c r="T27" s="108">
        <f t="shared" si="3"/>
        <v>0</v>
      </c>
      <c r="U27" s="108">
        <f t="shared" si="3"/>
        <v>0</v>
      </c>
      <c r="V27" s="108">
        <f t="shared" si="3"/>
        <v>0</v>
      </c>
      <c r="W27" s="108">
        <f t="shared" si="3"/>
        <v>0</v>
      </c>
      <c r="X27" s="108">
        <f t="shared" si="3"/>
        <v>0</v>
      </c>
      <c r="Y27" s="106">
        <f>SUM(Y20:Y26)</f>
        <v>1.5625</v>
      </c>
      <c r="Z27" s="107">
        <f>IFERROR((IF((Y27-(AA27)&lt;0),"00:00",(Y27-(AA27)))),0)</f>
        <v>0</v>
      </c>
      <c r="AA27" s="160">
        <f>I8</f>
        <v>1.5625</v>
      </c>
      <c r="AB27" s="161">
        <f>IFERROR(IF((Y27-AA27)&lt;0,(AA27-Y27),Y27-AA27),0)</f>
        <v>0</v>
      </c>
      <c r="AC27" s="19"/>
      <c r="AD27" s="11"/>
      <c r="AE27" s="228"/>
      <c r="AF27" s="11"/>
      <c r="AG27" s="11"/>
      <c r="AH27" s="11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</row>
    <row r="28" spans="2:46" ht="18" customHeight="1" x14ac:dyDescent="0.3">
      <c r="B28" s="294" t="s">
        <v>889</v>
      </c>
      <c r="C28" s="295"/>
      <c r="D28" s="296"/>
      <c r="E28" s="311" t="inlineStr">
        <is>
          <t xml:space="preserve">Notes:
I4005V (General Admin, 3:00 hr, Mon) – General administration (emails, timesheets, routine admin tasks).
C15862H – Software simulation. Mon: 5 hrs creating IOS for the I17 system + 2 hrs software simulation. Tue: remaining 4:45 hrs software simulation. Wed: remaining 6:00 hrs software simulation. Thu: software simulation and reviewing the latest modifications made by Faz.
M10265051V (5:00 hr, Tue) – Created a Maintenance Health Check list for the P3/P7 Plant.
M11185022V (2:00 hr, Wed) – Checked the F8650E software version, including locating/retrieving the H51q-HS hardware from the storage room used to plug into the CPU.
I1605V (Authorised Absence, 1:30 hr, Thu) – Dentist appointment (14:30–16:00).
Holiday (3:45 hr, Fri) – 0.5 day annual leave.</t>
        </is>
      </c>
      <c r="F28" s="312"/>
      <c r="G28" s="312"/>
      <c r="H28" s="312"/>
      <c r="I28" s="313"/>
      <c r="J28" s="288" t="s">
        <v>38</v>
      </c>
      <c r="K28" s="289"/>
      <c r="L28" s="302"/>
      <c r="M28" s="303"/>
      <c r="N28" s="303"/>
      <c r="O28" s="304"/>
      <c r="P28" s="288" t="s">
        <v>39</v>
      </c>
      <c r="Q28" s="289"/>
      <c r="R28" s="239"/>
      <c r="S28" s="240"/>
      <c r="T28" s="240"/>
      <c r="U28" s="241"/>
      <c r="V28" s="340" t="str">
        <f>"Additional Hrs @ O/T rate (&gt;" &amp; TEXT(I8,"[h]:mm")&amp;")"</f>
        <v>Additional Hrs @ O/T rate (&gt;37:30)</v>
      </c>
      <c r="W28" s="341"/>
      <c r="X28" s="341"/>
      <c r="Y28" s="341"/>
      <c r="Z28" s="334" t="str">
        <f>IF(($Y$27-$AA$27)&lt;=0,"00:00",$Y$27-$AA$27)</f>
        <v>00:00</v>
      </c>
      <c r="AA28" s="133"/>
      <c r="AD28" s="11"/>
      <c r="AE28" s="229" t="s">
        <v>2172</v>
      </c>
      <c r="AF28" s="230"/>
      <c r="AG28" s="11"/>
      <c r="AH28" s="11"/>
    </row>
    <row r="29" spans="2:46" ht="15.75" customHeight="1" thickBot="1" x14ac:dyDescent="0.35">
      <c r="B29" s="297"/>
      <c r="C29" s="298"/>
      <c r="D29" s="299"/>
      <c r="E29" s="314"/>
      <c r="F29" s="315"/>
      <c r="G29" s="315"/>
      <c r="H29" s="315"/>
      <c r="I29" s="316"/>
      <c r="J29" s="290"/>
      <c r="K29" s="291"/>
      <c r="L29" s="305"/>
      <c r="M29" s="306"/>
      <c r="N29" s="306"/>
      <c r="O29" s="307"/>
      <c r="P29" s="290"/>
      <c r="Q29" s="291"/>
      <c r="R29" s="242"/>
      <c r="S29" s="243"/>
      <c r="T29" s="243"/>
      <c r="U29" s="244"/>
      <c r="V29" s="342"/>
      <c r="W29" s="343"/>
      <c r="X29" s="343"/>
      <c r="Y29" s="343"/>
      <c r="Z29" s="335"/>
      <c r="AA29" s="134"/>
      <c r="AE29" s="231"/>
      <c r="AF29" s="232"/>
      <c r="AG29" s="11"/>
      <c r="AH29" s="11"/>
    </row>
    <row r="30" spans="2:46" ht="18" customHeight="1" thickBot="1" x14ac:dyDescent="0.35">
      <c r="B30" s="284" t="s">
        <v>40</v>
      </c>
      <c r="C30" s="285"/>
      <c r="D30" s="138">
        <f>SUM(D20:D26)</f>
        <v>0</v>
      </c>
      <c r="E30" s="314"/>
      <c r="F30" s="315"/>
      <c r="G30" s="315"/>
      <c r="H30" s="315"/>
      <c r="I30" s="316"/>
      <c r="J30" s="290"/>
      <c r="K30" s="291"/>
      <c r="L30" s="305"/>
      <c r="M30" s="306"/>
      <c r="N30" s="306"/>
      <c r="O30" s="307"/>
      <c r="P30" s="290"/>
      <c r="Q30" s="291"/>
      <c r="R30" s="242"/>
      <c r="S30" s="243"/>
      <c r="T30" s="243"/>
      <c r="U30" s="244"/>
      <c r="V30" s="325" t="s">
        <v>41</v>
      </c>
      <c r="W30" s="326"/>
      <c r="X30" s="327"/>
      <c r="Y30" s="90" t="s">
        <v>42</v>
      </c>
      <c r="Z30" s="110">
        <v>0</v>
      </c>
      <c r="AA30" s="4"/>
      <c r="AD30" s="11"/>
      <c r="AE30" s="233" t="s">
        <v>2157</v>
      </c>
      <c r="AF30" s="234" t="s">
        <v>659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2:46" ht="18" customHeight="1" thickBot="1" x14ac:dyDescent="0.35">
      <c r="B31" s="286" t="s">
        <v>43</v>
      </c>
      <c r="C31" s="287"/>
      <c r="D31" s="139">
        <f>SUM(F20:F26)</f>
        <v>0</v>
      </c>
      <c r="E31" s="314"/>
      <c r="F31" s="315"/>
      <c r="G31" s="315"/>
      <c r="H31" s="315"/>
      <c r="I31" s="316"/>
      <c r="J31" s="290"/>
      <c r="K31" s="291"/>
      <c r="L31" s="305"/>
      <c r="M31" s="306"/>
      <c r="N31" s="306"/>
      <c r="O31" s="307"/>
      <c r="P31" s="290"/>
      <c r="Q31" s="291"/>
      <c r="R31" s="242"/>
      <c r="S31" s="243"/>
      <c r="T31" s="243"/>
      <c r="U31" s="244"/>
      <c r="V31" s="328"/>
      <c r="W31" s="329"/>
      <c r="X31" s="330"/>
      <c r="Y31" s="131" t="s">
        <v>44</v>
      </c>
      <c r="Z31" s="111">
        <v>0</v>
      </c>
      <c r="AA31" s="4"/>
      <c r="AE31" s="233" t="s">
        <v>2158</v>
      </c>
      <c r="AF31" s="234" t="s">
        <v>563</v>
      </c>
      <c r="AG31" s="11"/>
      <c r="AH31" s="11"/>
    </row>
    <row r="32" spans="2:46" s="11" customFormat="1" ht="126.6" customHeight="1" thickBot="1" x14ac:dyDescent="0.35">
      <c r="B32" s="300" t="s">
        <v>45</v>
      </c>
      <c r="C32" s="301"/>
      <c r="D32" s="153">
        <f>SUM(E27:F27)</f>
        <v>0</v>
      </c>
      <c r="E32" s="317"/>
      <c r="F32" s="318"/>
      <c r="G32" s="318"/>
      <c r="H32" s="318"/>
      <c r="I32" s="319"/>
      <c r="J32" s="292"/>
      <c r="K32" s="293"/>
      <c r="L32" s="308"/>
      <c r="M32" s="309"/>
      <c r="N32" s="309"/>
      <c r="O32" s="310"/>
      <c r="P32" s="292"/>
      <c r="Q32" s="293"/>
      <c r="R32" s="245"/>
      <c r="S32" s="246"/>
      <c r="T32" s="246"/>
      <c r="U32" s="247"/>
      <c r="V32" s="331"/>
      <c r="W32" s="332"/>
      <c r="X32" s="333"/>
      <c r="Y32" s="113" t="s">
        <v>46</v>
      </c>
      <c r="Z32" s="112">
        <f>SUM(Z30:Z31)</f>
        <v>0</v>
      </c>
      <c r="AA32" s="17"/>
      <c r="AD32" s="2"/>
      <c r="AE32" s="233" t="s">
        <v>2159</v>
      </c>
      <c r="AF32" s="234" t="s">
        <v>679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</row>
    <row r="33" spans="1:34" ht="14.4" x14ac:dyDescent="0.3">
      <c r="AE33" s="233" t="s">
        <v>792</v>
      </c>
      <c r="AF33" s="234" t="s">
        <v>493</v>
      </c>
      <c r="AG33" s="11"/>
      <c r="AH33" s="11"/>
    </row>
    <row r="34" spans="1:34" ht="14.4" x14ac:dyDescent="0.3">
      <c r="AE34" s="233" t="s">
        <v>791</v>
      </c>
      <c r="AF34" s="234" t="s">
        <v>631</v>
      </c>
      <c r="AG34" s="11"/>
      <c r="AH34" s="11"/>
    </row>
    <row r="35" spans="1:34" ht="14.4" x14ac:dyDescent="0.3">
      <c r="AE35" s="233" t="s">
        <v>2160</v>
      </c>
      <c r="AF35" s="234" t="s">
        <v>649</v>
      </c>
      <c r="AG35" s="11"/>
      <c r="AH35" s="11"/>
    </row>
    <row r="36" spans="1:34" ht="14.4" x14ac:dyDescent="0.3">
      <c r="AE36" s="233" t="s">
        <v>2161</v>
      </c>
      <c r="AF36" s="234" t="s">
        <v>487</v>
      </c>
      <c r="AG36" s="11"/>
      <c r="AH36" s="11"/>
    </row>
    <row r="37" spans="1:34" ht="14.4" x14ac:dyDescent="0.3">
      <c r="A37" s="4"/>
      <c r="B37" s="4"/>
      <c r="C37" s="4"/>
      <c r="D37" s="4"/>
      <c r="E37" s="4"/>
      <c r="F37" s="4"/>
      <c r="G37" s="4"/>
      <c r="H37" s="4"/>
      <c r="I37" s="4"/>
      <c r="AE37" s="233" t="s">
        <v>2162</v>
      </c>
      <c r="AF37" s="234" t="s">
        <v>639</v>
      </c>
      <c r="AG37" s="11"/>
      <c r="AH37" s="11"/>
    </row>
    <row r="38" spans="1:34" ht="15.6" x14ac:dyDescent="0.3">
      <c r="A38" s="4"/>
      <c r="B38" s="25" t="s">
        <v>47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AE38" s="233" t="s">
        <v>790</v>
      </c>
      <c r="AF38" s="234" t="s">
        <v>435</v>
      </c>
      <c r="AG38" s="11"/>
      <c r="AH38" s="11"/>
    </row>
    <row r="39" spans="1:34" ht="15.75" customHeight="1" thickBot="1" x14ac:dyDescent="0.3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AE39" s="233" t="s">
        <v>2163</v>
      </c>
      <c r="AF39" s="234" t="s">
        <v>2171</v>
      </c>
    </row>
    <row r="40" spans="1:34" ht="15.75" customHeight="1" thickBot="1" x14ac:dyDescent="0.35">
      <c r="B40" s="48" t="s">
        <v>22</v>
      </c>
      <c r="C40" s="49" t="s">
        <v>48</v>
      </c>
      <c r="D40" s="50" t="s">
        <v>49</v>
      </c>
      <c r="E40" s="50" t="s">
        <v>50</v>
      </c>
      <c r="F40" s="50" t="s">
        <v>51</v>
      </c>
      <c r="G40" s="50" t="s">
        <v>52</v>
      </c>
      <c r="H40" s="50" t="s">
        <v>53</v>
      </c>
      <c r="I40" s="51" t="s">
        <v>54</v>
      </c>
      <c r="J40" s="52" t="s">
        <v>21</v>
      </c>
      <c r="K40" s="21"/>
      <c r="AE40" s="233" t="s">
        <v>2164</v>
      </c>
      <c r="AF40" s="234" t="s">
        <v>669</v>
      </c>
    </row>
    <row r="41" spans="1:34" ht="15.75" customHeight="1" x14ac:dyDescent="0.3">
      <c r="B41" s="40" t="s">
        <v>55</v>
      </c>
      <c r="C41" s="46">
        <v>0.3125</v>
      </c>
      <c r="D41" s="46">
        <v>0.32291666666666669</v>
      </c>
      <c r="E41" s="46">
        <v>0.3125</v>
      </c>
      <c r="F41" s="46">
        <v>0.33333333333333331</v>
      </c>
      <c r="G41" s="46"/>
      <c r="H41" s="46"/>
      <c r="I41" s="47"/>
      <c r="J41" s="30"/>
      <c r="K41" s="21"/>
      <c r="AE41" s="233" t="s">
        <v>2165</v>
      </c>
      <c r="AF41" s="234" t="s">
        <v>611</v>
      </c>
    </row>
    <row r="42" spans="1:34" ht="15.75" customHeight="1" x14ac:dyDescent="0.3">
      <c r="B42" s="40" t="s">
        <v>56</v>
      </c>
      <c r="C42" s="81">
        <v>0.75</v>
      </c>
      <c r="D42" s="81">
        <v>0.75</v>
      </c>
      <c r="E42" s="81">
        <v>0.66666666666666663</v>
      </c>
      <c r="F42" s="81">
        <v>0.60416666666666663</v>
      </c>
      <c r="G42" s="81"/>
      <c r="H42" s="81"/>
      <c r="I42" s="82"/>
      <c r="J42" s="83"/>
      <c r="K42" s="22"/>
      <c r="AE42" s="233" t="s">
        <v>2166</v>
      </c>
      <c r="AF42" s="234" t="s">
        <v>986</v>
      </c>
    </row>
    <row r="43" spans="1:34" ht="15.75" customHeight="1" x14ac:dyDescent="0.3">
      <c r="B43" s="41" t="s">
        <v>57</v>
      </c>
      <c r="C43" s="31">
        <v>2.0833333333333332E-2</v>
      </c>
      <c r="D43" s="26">
        <v>2.0833333333333332E-2</v>
      </c>
      <c r="E43" s="26">
        <v>2.0833333333333332E-2</v>
      </c>
      <c r="F43" s="26">
        <v>2.0833333333333332E-2</v>
      </c>
      <c r="G43" s="26">
        <v>0</v>
      </c>
      <c r="H43" s="26">
        <v>0</v>
      </c>
      <c r="I43" s="32">
        <v>0</v>
      </c>
      <c r="J43" s="80">
        <f t="shared" ref="J43:J48" si="4">SUM(C43:I43)</f>
        <v>8.3333333333333329E-2</v>
      </c>
      <c r="K43" s="20"/>
      <c r="AE43" s="233" t="s">
        <v>2167</v>
      </c>
      <c r="AF43" s="234" t="s">
        <v>571</v>
      </c>
    </row>
    <row r="44" spans="1:34" ht="15.75" customHeight="1" thickBot="1" x14ac:dyDescent="0.35">
      <c r="B44" s="40" t="s">
        <v>58</v>
      </c>
      <c r="C44" s="33"/>
      <c r="D44" s="27"/>
      <c r="E44" s="27"/>
      <c r="F44" s="27"/>
      <c r="G44" s="27"/>
      <c r="H44" s="27"/>
      <c r="I44" s="27"/>
      <c r="J44" s="78">
        <f t="shared" si="4"/>
        <v>0</v>
      </c>
      <c r="K44" s="23"/>
      <c r="AE44" s="235" t="s">
        <v>572</v>
      </c>
      <c r="AF44" s="236" t="s">
        <v>575</v>
      </c>
    </row>
    <row r="45" spans="1:34" ht="15.75" customHeight="1" x14ac:dyDescent="0.3">
      <c r="B45" s="40" t="s">
        <v>59</v>
      </c>
      <c r="C45" s="33"/>
      <c r="D45" s="27"/>
      <c r="E45" s="27"/>
      <c r="F45" s="27"/>
      <c r="G45" s="27"/>
      <c r="H45" s="27"/>
      <c r="I45" s="34"/>
      <c r="J45" s="78">
        <f t="shared" si="4"/>
        <v>0</v>
      </c>
      <c r="K45" s="23"/>
    </row>
    <row r="46" spans="1:34" ht="15.75" customHeight="1" x14ac:dyDescent="0.3">
      <c r="B46" s="42" t="s">
        <v>60</v>
      </c>
      <c r="C46" s="35">
        <f>C42-C41-C43+C44-C45</f>
        <v>0.36458333333333337</v>
      </c>
      <c r="D46" s="29">
        <f>D42-D41-D43+D44-D45</f>
        <v>-2.0833333333333332E-2</v>
      </c>
      <c r="E46" s="29">
        <f>E42-E41-E43+E44-E45</f>
        <v>-2.0833333333333332E-2</v>
      </c>
      <c r="F46" s="29">
        <f>F42-F41-F43+F44-F45</f>
        <v>-2.0833333333333332E-2</v>
      </c>
      <c r="G46" s="29">
        <f>G42-G41-G43+G44-G45</f>
        <v>0</v>
      </c>
      <c r="H46" s="29">
        <f t="shared" ref="H46:I46" si="5">H42-H41-H43+H44-H45</f>
        <v>0</v>
      </c>
      <c r="I46" s="36">
        <f t="shared" si="5"/>
        <v>0</v>
      </c>
      <c r="J46" s="143">
        <f t="shared" si="4"/>
        <v>0.30208333333333343</v>
      </c>
      <c r="K46" s="20"/>
    </row>
    <row r="47" spans="1:34" ht="15.75" customHeight="1" x14ac:dyDescent="0.3">
      <c r="B47" s="43" t="s">
        <v>61</v>
      </c>
      <c r="C47" s="140">
        <v>0.3125</v>
      </c>
      <c r="D47" s="141">
        <v>0.3125</v>
      </c>
      <c r="E47" s="141">
        <v>0.3125</v>
      </c>
      <c r="F47" s="141">
        <v>0.3125</v>
      </c>
      <c r="G47" s="141">
        <v>0.3125</v>
      </c>
      <c r="H47" s="141">
        <v>0</v>
      </c>
      <c r="I47" s="142">
        <v>0</v>
      </c>
      <c r="J47" s="143">
        <f t="shared" si="4"/>
        <v>1.5625</v>
      </c>
    </row>
    <row r="48" spans="1:34" ht="15.75" customHeight="1" x14ac:dyDescent="0.3">
      <c r="B48" s="44" t="s">
        <v>62</v>
      </c>
      <c r="C48" s="144">
        <f>IF(C46-C47&lt;=0,0,C46-C47)</f>
        <v>5.208333333333337E-2</v>
      </c>
      <c r="D48" s="145">
        <f>IF(D46-D47&lt;=0,0,D46-D47)</f>
        <v>0</v>
      </c>
      <c r="E48" s="145">
        <f>IF(E46-E47&lt;=0,0,E46-E47)</f>
        <v>0</v>
      </c>
      <c r="F48" s="145">
        <f>IF(F46-F47&lt;=0,0,F46-F47)</f>
        <v>0</v>
      </c>
      <c r="G48" s="145">
        <f>IF(G46-G47&lt;=0,0,G46-G47)</f>
        <v>0</v>
      </c>
      <c r="H48" s="145">
        <f t="shared" ref="H48:I48" si="6">IF(H46-H47&lt;=0,0,H46-H47)</f>
        <v>0</v>
      </c>
      <c r="I48" s="146">
        <f t="shared" si="6"/>
        <v>0</v>
      </c>
      <c r="J48" s="147">
        <f t="shared" si="4"/>
        <v>5.208333333333337E-2</v>
      </c>
      <c r="K48" s="75" t="s">
        <v>63</v>
      </c>
    </row>
    <row r="49" spans="2:11" ht="9" customHeight="1" x14ac:dyDescent="0.3">
      <c r="B49" s="28"/>
      <c r="C49" s="37"/>
      <c r="D49" s="38"/>
      <c r="E49" s="38"/>
      <c r="F49" s="38"/>
      <c r="G49" s="38"/>
      <c r="H49" s="38"/>
      <c r="I49" s="39"/>
      <c r="J49" s="28"/>
      <c r="K49" s="75"/>
    </row>
    <row r="50" spans="2:11" ht="15.75" customHeight="1" thickBot="1" x14ac:dyDescent="0.4">
      <c r="B50" s="45" t="s">
        <v>64</v>
      </c>
      <c r="C50" s="148">
        <f>IF(C47-C46&lt;=0,0,C47-C46)</f>
        <v>0</v>
      </c>
      <c r="D50" s="149">
        <f>IF(D47-D46&lt;=0,0,D47-D46)</f>
        <v>0.33333333333333331</v>
      </c>
      <c r="E50" s="149">
        <f>IF(E47-E46&lt;=0,0,E47-E46)</f>
        <v>0.33333333333333331</v>
      </c>
      <c r="F50" s="149">
        <f>IF(F47-F46&lt;=0,0,F47-F46)</f>
        <v>0.33333333333333331</v>
      </c>
      <c r="G50" s="149">
        <f>IF(G47-G46&lt;=0,0,G47-G46)</f>
        <v>0.3125</v>
      </c>
      <c r="H50" s="149">
        <f t="shared" ref="H50:I50" si="7">IF(H47-H46&lt;=0,0,H47-H46)</f>
        <v>0</v>
      </c>
      <c r="I50" s="150">
        <f t="shared" si="7"/>
        <v>0</v>
      </c>
      <c r="J50" s="151">
        <f>SUM(C50:I50)</f>
        <v>1.3125</v>
      </c>
      <c r="K50" s="79" t="str">
        <f>+K48</f>
        <v>Hrs : Mins</v>
      </c>
    </row>
    <row r="51" spans="2:11" ht="15.75" customHeight="1" thickBot="1" x14ac:dyDescent="0.35">
      <c r="E51" s="24"/>
      <c r="F51" s="24"/>
      <c r="H51" s="4"/>
    </row>
    <row r="52" spans="2:11" ht="15.75" customHeight="1" x14ac:dyDescent="0.3">
      <c r="E52" s="4"/>
      <c r="F52" s="4"/>
      <c r="G52" s="4"/>
      <c r="H52" s="320" t="s">
        <v>65</v>
      </c>
      <c r="I52" s="346" t="str">
        <f>IF((J48-J50)&lt;0,"You owe the company "&amp; TEXT(J50-J48,"[hh]:mm")&amp;" [hh:mm]",J48-J50)</f>
        <v>You owe the company 30:15 [hh:mm]</v>
      </c>
      <c r="J52" s="347"/>
    </row>
    <row r="53" spans="2:11" ht="12.75" customHeight="1" x14ac:dyDescent="0.3">
      <c r="E53" s="4"/>
      <c r="F53" s="4"/>
      <c r="G53" s="4"/>
      <c r="H53" s="321"/>
      <c r="I53" s="348"/>
      <c r="J53" s="349"/>
    </row>
    <row r="54" spans="2:11" ht="12.75" customHeight="1" thickBot="1" x14ac:dyDescent="0.35">
      <c r="H54" s="322"/>
      <c r="I54" s="350"/>
      <c r="J54" s="351"/>
    </row>
    <row r="74" spans="43:43" x14ac:dyDescent="0.3">
      <c r="AQ74" s="70"/>
    </row>
    <row r="83" spans="47:79" ht="14.4" thickBot="1" x14ac:dyDescent="0.35"/>
    <row r="84" spans="47:79" x14ac:dyDescent="0.3">
      <c r="BA84" s="323" t="s">
        <v>66</v>
      </c>
      <c r="BB84" s="324"/>
      <c r="BJ84" s="13"/>
      <c r="BK84" s="13"/>
      <c r="BL84" s="13"/>
    </row>
    <row r="85" spans="47:79" x14ac:dyDescent="0.3">
      <c r="AU85" s="65"/>
      <c r="AV85" s="66"/>
      <c r="AW85" s="66"/>
      <c r="BA85" s="71" t="str">
        <f>IF(BB85=24, "24.00", "0")</f>
        <v>0</v>
      </c>
      <c r="BB85" s="72">
        <f>D26*1440/60</f>
        <v>0</v>
      </c>
      <c r="BC85" s="4" t="s">
        <v>10</v>
      </c>
      <c r="BD85" s="15" t="s">
        <v>67</v>
      </c>
      <c r="BE85" s="15" t="s">
        <v>68</v>
      </c>
      <c r="BF85" s="15" t="s">
        <v>69</v>
      </c>
      <c r="BG85" s="68">
        <v>11</v>
      </c>
      <c r="BH85" s="76" t="s">
        <v>70</v>
      </c>
      <c r="BI85" s="76" t="s">
        <v>71</v>
      </c>
      <c r="BJ85" s="76" t="s">
        <v>72</v>
      </c>
      <c r="BK85" s="76" t="s">
        <v>73</v>
      </c>
      <c r="BL85" s="76" t="s">
        <v>74</v>
      </c>
      <c r="BO85" s="2" t="s">
        <v>74</v>
      </c>
      <c r="BP85" s="2" t="s">
        <v>75</v>
      </c>
      <c r="BQ85" s="2" t="s">
        <v>76</v>
      </c>
      <c r="BR85" s="2" t="s">
        <v>77</v>
      </c>
      <c r="BS85" s="2" t="s">
        <v>78</v>
      </c>
      <c r="BT85" s="2" t="s">
        <v>79</v>
      </c>
      <c r="BU85" s="4"/>
    </row>
    <row r="86" spans="47:79" x14ac:dyDescent="0.3">
      <c r="AU86" s="65"/>
      <c r="AV86" s="66"/>
      <c r="AW86" s="66"/>
      <c r="BA86" s="71" t="str">
        <f t="shared" ref="BA86:BA91" si="8">IF(BB86=24, "24.00", "0")</f>
        <v>0</v>
      </c>
      <c r="BB86" s="72">
        <f>D25*1440/60</f>
        <v>0</v>
      </c>
      <c r="BC86" s="4" t="s">
        <v>13</v>
      </c>
      <c r="BD86" s="65">
        <v>45817</v>
      </c>
      <c r="BE86" s="66"/>
      <c r="BF86" s="66"/>
      <c r="BH86" s="62" t="s">
        <v>794</v>
      </c>
      <c r="BI86" s="62" t="s">
        <v>795</v>
      </c>
      <c r="BJ86" s="63">
        <v>216</v>
      </c>
      <c r="BK86" s="62" t="s">
        <v>93</v>
      </c>
      <c r="BL86" s="64" t="s">
        <v>796</v>
      </c>
      <c r="BO86" s="53" t="s">
        <v>94</v>
      </c>
      <c r="BP86" s="53" t="s">
        <v>2118</v>
      </c>
      <c r="BQ86" s="54">
        <v>45293</v>
      </c>
      <c r="BR86" s="53" t="s">
        <v>95</v>
      </c>
      <c r="BS86" s="53" t="s">
        <v>99</v>
      </c>
      <c r="BT86" s="53" t="s">
        <v>2117</v>
      </c>
      <c r="BU86" s="4"/>
      <c r="BZ86" s="57">
        <v>42002</v>
      </c>
      <c r="CA86" s="2">
        <v>1</v>
      </c>
    </row>
    <row r="87" spans="47:79" x14ac:dyDescent="0.3">
      <c r="AU87" s="65"/>
      <c r="AV87" s="66"/>
      <c r="AW87" s="66"/>
      <c r="BA87" s="71" t="str">
        <f t="shared" si="8"/>
        <v>0</v>
      </c>
      <c r="BB87" s="72">
        <f>D24*1440/60</f>
        <v>0</v>
      </c>
      <c r="BC87" s="4" t="s">
        <v>86</v>
      </c>
      <c r="BD87" s="65">
        <v>45824</v>
      </c>
      <c r="BE87" s="123">
        <v>12</v>
      </c>
      <c r="BF87" s="123">
        <v>3</v>
      </c>
      <c r="BG87" s="2">
        <v>19</v>
      </c>
      <c r="BH87" s="62" t="s">
        <v>797</v>
      </c>
      <c r="BI87" s="62" t="s">
        <v>798</v>
      </c>
      <c r="BJ87" s="63">
        <v>320</v>
      </c>
      <c r="BK87" s="62" t="s">
        <v>93</v>
      </c>
      <c r="BL87" s="64" t="s">
        <v>796</v>
      </c>
      <c r="BN87" s="2" t="s">
        <v>14</v>
      </c>
      <c r="BO87" s="53" t="s">
        <v>94</v>
      </c>
      <c r="BP87" s="53" t="s">
        <v>2033</v>
      </c>
      <c r="BQ87" s="54">
        <v>45251</v>
      </c>
      <c r="BR87" s="53" t="s">
        <v>95</v>
      </c>
      <c r="BS87" s="53" t="s">
        <v>107</v>
      </c>
      <c r="BT87" s="53" t="s">
        <v>2032</v>
      </c>
      <c r="BU87" s="4"/>
      <c r="BZ87" s="57">
        <f>+BZ86+7</f>
        <v>42009</v>
      </c>
      <c r="CA87" s="2">
        <f>+CA86+1</f>
        <v>2</v>
      </c>
    </row>
    <row r="88" spans="47:79" x14ac:dyDescent="0.3">
      <c r="AU88" s="65"/>
      <c r="AV88" s="66"/>
      <c r="AW88" s="66"/>
      <c r="BA88" s="71" t="str">
        <f t="shared" si="8"/>
        <v>0</v>
      </c>
      <c r="BB88" s="72">
        <f>D23*1440/60</f>
        <v>0</v>
      </c>
      <c r="BC88" s="4" t="s">
        <v>90</v>
      </c>
      <c r="BD88" s="65">
        <v>45831</v>
      </c>
      <c r="BE88" s="123">
        <v>13</v>
      </c>
      <c r="BF88" s="123">
        <v>3</v>
      </c>
      <c r="BG88" s="2">
        <v>20</v>
      </c>
      <c r="BH88" s="62" t="s">
        <v>799</v>
      </c>
      <c r="BI88" s="62" t="s">
        <v>800</v>
      </c>
      <c r="BJ88" s="63">
        <v>210</v>
      </c>
      <c r="BK88" s="62" t="s">
        <v>796</v>
      </c>
      <c r="BL88" s="64" t="s">
        <v>796</v>
      </c>
      <c r="BN88" s="2" t="s">
        <v>16</v>
      </c>
      <c r="BO88" s="53" t="s">
        <v>94</v>
      </c>
      <c r="BP88" s="53" t="s">
        <v>2120</v>
      </c>
      <c r="BQ88" s="54">
        <v>45281</v>
      </c>
      <c r="BR88" s="53" t="s">
        <v>95</v>
      </c>
      <c r="BS88" s="53" t="s">
        <v>107</v>
      </c>
      <c r="BT88" s="53" t="s">
        <v>2119</v>
      </c>
      <c r="BU88" s="4"/>
      <c r="BZ88" s="57">
        <f t="shared" ref="BZ88:BZ134" si="9">+BZ87+7</f>
        <v>42016</v>
      </c>
      <c r="CA88" s="2">
        <f t="shared" ref="CA88:CA134" si="10">+CA87+1</f>
        <v>3</v>
      </c>
    </row>
    <row r="89" spans="47:79" x14ac:dyDescent="0.3">
      <c r="AU89" s="65"/>
      <c r="AV89" s="66"/>
      <c r="AW89" s="66"/>
      <c r="BA89" s="71" t="str">
        <f t="shared" si="8"/>
        <v>0</v>
      </c>
      <c r="BB89" s="72">
        <f>D22*1440/60</f>
        <v>0</v>
      </c>
      <c r="BC89" s="4" t="s">
        <v>96</v>
      </c>
      <c r="BD89" s="65">
        <v>45838</v>
      </c>
      <c r="BE89" s="123">
        <v>14</v>
      </c>
      <c r="BF89" s="123">
        <v>3</v>
      </c>
      <c r="BG89" s="2">
        <v>21</v>
      </c>
      <c r="BH89" s="62" t="s">
        <v>801</v>
      </c>
      <c r="BI89" s="62" t="s">
        <v>802</v>
      </c>
      <c r="BJ89" s="63">
        <v>19</v>
      </c>
      <c r="BK89" s="62" t="s">
        <v>93</v>
      </c>
      <c r="BL89" s="64" t="s">
        <v>796</v>
      </c>
      <c r="BN89" s="2" t="s">
        <v>15</v>
      </c>
      <c r="BO89" s="53" t="s">
        <v>94</v>
      </c>
      <c r="BP89" s="53" t="s">
        <v>121</v>
      </c>
      <c r="BQ89" s="54">
        <v>44350</v>
      </c>
      <c r="BR89" s="53" t="s">
        <v>95</v>
      </c>
      <c r="BS89" s="53" t="s">
        <v>115</v>
      </c>
      <c r="BT89" s="53" t="s">
        <v>122</v>
      </c>
      <c r="BU89" s="4"/>
      <c r="BZ89" s="57">
        <f t="shared" si="9"/>
        <v>42023</v>
      </c>
      <c r="CA89" s="2">
        <f t="shared" si="10"/>
        <v>4</v>
      </c>
    </row>
    <row r="90" spans="47:79" x14ac:dyDescent="0.3">
      <c r="AU90" s="65"/>
      <c r="AV90" s="66"/>
      <c r="BA90" s="71" t="str">
        <f t="shared" si="8"/>
        <v>0</v>
      </c>
      <c r="BB90" s="72">
        <f>D21*1440/60</f>
        <v>0</v>
      </c>
      <c r="BC90" s="4"/>
      <c r="BD90" s="65">
        <v>45845</v>
      </c>
      <c r="BE90" s="123">
        <v>15</v>
      </c>
      <c r="BF90" s="123">
        <v>4</v>
      </c>
      <c r="BG90" s="2">
        <v>22</v>
      </c>
      <c r="BH90" s="62" t="s">
        <v>803</v>
      </c>
      <c r="BI90" s="62" t="s">
        <v>804</v>
      </c>
      <c r="BJ90" s="63">
        <v>9</v>
      </c>
      <c r="BK90" s="62" t="s">
        <v>93</v>
      </c>
      <c r="BL90" s="64" t="s">
        <v>119</v>
      </c>
      <c r="BN90" s="2" t="s">
        <v>103</v>
      </c>
      <c r="BO90" s="53" t="s">
        <v>94</v>
      </c>
      <c r="BP90" s="53" t="s">
        <v>1793</v>
      </c>
      <c r="BQ90" s="54">
        <v>45076</v>
      </c>
      <c r="BR90" s="53" t="s">
        <v>95</v>
      </c>
      <c r="BS90" s="53" t="s">
        <v>115</v>
      </c>
      <c r="BT90" s="53" t="s">
        <v>1534</v>
      </c>
      <c r="BU90" s="4"/>
      <c r="BZ90" s="57">
        <f t="shared" si="9"/>
        <v>42030</v>
      </c>
      <c r="CA90" s="2">
        <f t="shared" si="10"/>
        <v>5</v>
      </c>
    </row>
    <row r="91" spans="47:79" ht="14.4" thickBot="1" x14ac:dyDescent="0.35">
      <c r="AU91" s="65"/>
      <c r="AV91" s="66"/>
      <c r="BA91" s="73" t="str">
        <f t="shared" si="8"/>
        <v>0</v>
      </c>
      <c r="BB91" s="74">
        <f>D20*1440/60</f>
        <v>0</v>
      </c>
      <c r="BC91" s="4"/>
      <c r="BD91" s="65">
        <v>45852</v>
      </c>
      <c r="BE91" s="123">
        <v>16</v>
      </c>
      <c r="BF91" s="123">
        <v>4</v>
      </c>
      <c r="BG91" s="2">
        <v>23</v>
      </c>
      <c r="BH91" s="62" t="s">
        <v>805</v>
      </c>
      <c r="BI91" s="62" t="s">
        <v>806</v>
      </c>
      <c r="BJ91" s="63">
        <v>223</v>
      </c>
      <c r="BK91" s="62" t="s">
        <v>93</v>
      </c>
      <c r="BL91" s="64" t="s">
        <v>796</v>
      </c>
      <c r="BN91" s="2" t="s">
        <v>106</v>
      </c>
      <c r="BO91" s="53" t="s">
        <v>94</v>
      </c>
      <c r="BP91" s="53" t="s">
        <v>1383</v>
      </c>
      <c r="BQ91" s="54">
        <v>44980</v>
      </c>
      <c r="BR91" s="53" t="s">
        <v>95</v>
      </c>
      <c r="BS91" s="53" t="s">
        <v>1384</v>
      </c>
      <c r="BT91" s="53" t="s">
        <v>1382</v>
      </c>
      <c r="BU91" s="4"/>
      <c r="BZ91" s="57">
        <f t="shared" si="9"/>
        <v>42037</v>
      </c>
      <c r="CA91" s="2">
        <f t="shared" si="10"/>
        <v>6</v>
      </c>
    </row>
    <row r="92" spans="47:79" x14ac:dyDescent="0.3">
      <c r="AU92" s="65"/>
      <c r="AV92" s="66"/>
      <c r="BA92" s="4"/>
      <c r="BC92" s="55" t="s">
        <v>31</v>
      </c>
      <c r="BD92" s="65">
        <v>45859</v>
      </c>
      <c r="BE92" s="123">
        <v>17</v>
      </c>
      <c r="BF92" s="123">
        <v>4</v>
      </c>
      <c r="BG92" s="2">
        <v>24</v>
      </c>
      <c r="BH92" s="62" t="s">
        <v>807</v>
      </c>
      <c r="BI92" s="62" t="s">
        <v>808</v>
      </c>
      <c r="BJ92" s="63">
        <v>854</v>
      </c>
      <c r="BK92" s="62" t="s">
        <v>93</v>
      </c>
      <c r="BL92" s="64" t="s">
        <v>131</v>
      </c>
      <c r="BN92" s="2" t="s">
        <v>110</v>
      </c>
      <c r="BO92" s="53" t="s">
        <v>94</v>
      </c>
      <c r="BP92" s="53" t="s">
        <v>1226</v>
      </c>
      <c r="BQ92" s="54">
        <v>44733</v>
      </c>
      <c r="BR92" s="53" t="s">
        <v>95</v>
      </c>
      <c r="BS92" s="53" t="s">
        <v>948</v>
      </c>
      <c r="BT92" s="53" t="s">
        <v>1225</v>
      </c>
      <c r="BU92" s="4"/>
      <c r="BZ92" s="57">
        <f t="shared" si="9"/>
        <v>42044</v>
      </c>
      <c r="CA92" s="2">
        <f t="shared" si="10"/>
        <v>7</v>
      </c>
    </row>
    <row r="93" spans="47:79" x14ac:dyDescent="0.3">
      <c r="AU93" s="65"/>
      <c r="AV93" s="66"/>
      <c r="BA93" s="4"/>
      <c r="BC93" s="4" t="s">
        <v>103</v>
      </c>
      <c r="BD93" s="65">
        <v>45866</v>
      </c>
      <c r="BE93" s="123">
        <v>18</v>
      </c>
      <c r="BF93" s="123">
        <v>4</v>
      </c>
      <c r="BG93" s="2">
        <v>25</v>
      </c>
      <c r="BH93" s="62" t="s">
        <v>811</v>
      </c>
      <c r="BI93" s="62" t="s">
        <v>812</v>
      </c>
      <c r="BJ93" s="63">
        <v>390</v>
      </c>
      <c r="BK93" s="62" t="s">
        <v>93</v>
      </c>
      <c r="BL93" s="64" t="s">
        <v>131</v>
      </c>
      <c r="BN93" s="2" t="s">
        <v>113</v>
      </c>
      <c r="BO93" s="53" t="s">
        <v>94</v>
      </c>
      <c r="BP93" s="53" t="s">
        <v>982</v>
      </c>
      <c r="BQ93" s="54">
        <v>44657</v>
      </c>
      <c r="BR93" s="53" t="s">
        <v>95</v>
      </c>
      <c r="BS93" s="53" t="s">
        <v>983</v>
      </c>
      <c r="BT93" s="53" t="s">
        <v>981</v>
      </c>
      <c r="BU93" s="4"/>
      <c r="BZ93" s="57">
        <f t="shared" si="9"/>
        <v>42051</v>
      </c>
      <c r="CA93" s="2">
        <f t="shared" si="10"/>
        <v>8</v>
      </c>
    </row>
    <row r="94" spans="47:79" x14ac:dyDescent="0.3">
      <c r="AU94" s="65"/>
      <c r="AV94" s="66"/>
      <c r="BA94" s="4"/>
      <c r="BC94" s="4" t="s">
        <v>116</v>
      </c>
      <c r="BD94" s="65">
        <v>45873</v>
      </c>
      <c r="BE94" s="123">
        <v>19</v>
      </c>
      <c r="BF94" s="123">
        <v>5</v>
      </c>
      <c r="BG94" s="2">
        <v>26</v>
      </c>
      <c r="BH94" s="62" t="s">
        <v>813</v>
      </c>
      <c r="BI94" s="62" t="s">
        <v>814</v>
      </c>
      <c r="BJ94" s="63">
        <v>391</v>
      </c>
      <c r="BK94" s="62" t="s">
        <v>93</v>
      </c>
      <c r="BL94" s="64" t="s">
        <v>131</v>
      </c>
      <c r="BN94" s="2" t="s">
        <v>120</v>
      </c>
      <c r="BO94" s="53" t="s">
        <v>94</v>
      </c>
      <c r="BP94" s="53" t="s">
        <v>1982</v>
      </c>
      <c r="BQ94" s="54">
        <v>45244</v>
      </c>
      <c r="BR94" s="53" t="s">
        <v>95</v>
      </c>
      <c r="BS94" s="53" t="s">
        <v>1983</v>
      </c>
      <c r="BT94" s="53" t="s">
        <v>1981</v>
      </c>
      <c r="BU94" s="4"/>
      <c r="BZ94" s="57">
        <f t="shared" si="9"/>
        <v>42058</v>
      </c>
      <c r="CA94" s="2">
        <f t="shared" si="10"/>
        <v>9</v>
      </c>
    </row>
    <row r="95" spans="47:79" x14ac:dyDescent="0.3">
      <c r="AU95" s="65"/>
      <c r="AV95" s="66"/>
      <c r="BA95" s="4"/>
      <c r="BC95" s="4" t="s">
        <v>957</v>
      </c>
      <c r="BD95" s="65">
        <v>45880</v>
      </c>
      <c r="BE95" s="123">
        <v>20</v>
      </c>
      <c r="BF95" s="123">
        <v>5</v>
      </c>
      <c r="BG95" s="2">
        <v>27</v>
      </c>
      <c r="BH95" s="62" t="s">
        <v>815</v>
      </c>
      <c r="BI95" s="62" t="s">
        <v>816</v>
      </c>
      <c r="BJ95" s="63">
        <v>393</v>
      </c>
      <c r="BK95" s="62" t="s">
        <v>93</v>
      </c>
      <c r="BL95" s="64" t="s">
        <v>220</v>
      </c>
      <c r="BO95" s="53" t="s">
        <v>94</v>
      </c>
      <c r="BP95" s="53" t="s">
        <v>1228</v>
      </c>
      <c r="BQ95" s="54">
        <v>44868</v>
      </c>
      <c r="BR95" s="53" t="s">
        <v>95</v>
      </c>
      <c r="BS95" s="53" t="s">
        <v>159</v>
      </c>
      <c r="BT95" s="53" t="s">
        <v>1227</v>
      </c>
      <c r="BU95" s="4"/>
      <c r="BZ95" s="57">
        <f t="shared" si="9"/>
        <v>42065</v>
      </c>
      <c r="CA95" s="2">
        <f t="shared" si="10"/>
        <v>10</v>
      </c>
    </row>
    <row r="96" spans="47:79" x14ac:dyDescent="0.3">
      <c r="AU96" s="65"/>
      <c r="AV96" s="66"/>
      <c r="BA96" s="4"/>
      <c r="BC96" s="4" t="s">
        <v>1007</v>
      </c>
      <c r="BD96" s="65">
        <v>45887</v>
      </c>
      <c r="BE96" s="123">
        <v>21</v>
      </c>
      <c r="BF96" s="123">
        <v>5</v>
      </c>
      <c r="BG96" s="2">
        <v>28</v>
      </c>
      <c r="BH96" s="62" t="s">
        <v>830</v>
      </c>
      <c r="BI96" s="62" t="s">
        <v>831</v>
      </c>
      <c r="BJ96" s="63">
        <v>852</v>
      </c>
      <c r="BK96" s="62" t="s">
        <v>93</v>
      </c>
      <c r="BL96" s="64" t="s">
        <v>291</v>
      </c>
      <c r="BO96" s="53" t="s">
        <v>94</v>
      </c>
      <c r="BP96" s="53" t="s">
        <v>1536</v>
      </c>
      <c r="BQ96" s="54">
        <v>45077</v>
      </c>
      <c r="BR96" s="53" t="s">
        <v>95</v>
      </c>
      <c r="BS96" s="53" t="s">
        <v>153</v>
      </c>
      <c r="BT96" s="53" t="s">
        <v>1535</v>
      </c>
      <c r="BU96" s="4"/>
      <c r="BZ96" s="57">
        <f t="shared" si="9"/>
        <v>42072</v>
      </c>
      <c r="CA96" s="2">
        <f t="shared" si="10"/>
        <v>11</v>
      </c>
    </row>
    <row r="97" spans="47:79" x14ac:dyDescent="0.3">
      <c r="AU97" s="65"/>
      <c r="AV97" s="66"/>
      <c r="BA97" s="4"/>
      <c r="BC97" s="2" t="s">
        <v>1257</v>
      </c>
      <c r="BD97" s="65">
        <v>45894</v>
      </c>
      <c r="BE97" s="123">
        <v>22</v>
      </c>
      <c r="BF97" s="123">
        <v>5</v>
      </c>
      <c r="BG97" s="2">
        <v>29</v>
      </c>
      <c r="BH97" s="62" t="s">
        <v>832</v>
      </c>
      <c r="BI97" s="62" t="s">
        <v>833</v>
      </c>
      <c r="BJ97" s="63">
        <v>853</v>
      </c>
      <c r="BK97" s="62" t="s">
        <v>93</v>
      </c>
      <c r="BL97" s="64" t="s">
        <v>220</v>
      </c>
      <c r="BO97" s="53" t="s">
        <v>94</v>
      </c>
      <c r="BP97" s="53" t="s">
        <v>1925</v>
      </c>
      <c r="BQ97" s="54">
        <v>45230</v>
      </c>
      <c r="BR97" s="53" t="s">
        <v>95</v>
      </c>
      <c r="BS97" s="53" t="s">
        <v>1569</v>
      </c>
      <c r="BT97" s="53" t="s">
        <v>1924</v>
      </c>
      <c r="BU97" s="4"/>
      <c r="BZ97" s="57">
        <f t="shared" si="9"/>
        <v>42079</v>
      </c>
      <c r="CA97" s="2">
        <f t="shared" si="10"/>
        <v>12</v>
      </c>
    </row>
    <row r="98" spans="47:79" x14ac:dyDescent="0.3">
      <c r="AU98" s="65"/>
      <c r="AV98" s="66"/>
      <c r="BA98" s="4"/>
      <c r="BC98" s="69">
        <v>0</v>
      </c>
      <c r="BD98" s="65">
        <v>45901</v>
      </c>
      <c r="BE98" s="123">
        <v>23</v>
      </c>
      <c r="BF98" s="123">
        <v>6</v>
      </c>
      <c r="BG98" s="2">
        <v>30</v>
      </c>
      <c r="BH98" s="62" t="s">
        <v>834</v>
      </c>
      <c r="BI98" s="62" t="s">
        <v>835</v>
      </c>
      <c r="BJ98" s="63">
        <v>851</v>
      </c>
      <c r="BK98" s="62" t="s">
        <v>93</v>
      </c>
      <c r="BL98" s="64" t="s">
        <v>84</v>
      </c>
      <c r="BO98" s="53" t="s">
        <v>94</v>
      </c>
      <c r="BP98" s="53" t="s">
        <v>1386</v>
      </c>
      <c r="BQ98" s="54">
        <v>44992</v>
      </c>
      <c r="BR98" s="53" t="s">
        <v>95</v>
      </c>
      <c r="BS98" s="53" t="s">
        <v>153</v>
      </c>
      <c r="BT98" s="53" t="s">
        <v>1385</v>
      </c>
      <c r="BU98" s="4"/>
      <c r="BZ98" s="57">
        <f t="shared" si="9"/>
        <v>42086</v>
      </c>
      <c r="CA98" s="2">
        <f t="shared" si="10"/>
        <v>13</v>
      </c>
    </row>
    <row r="99" spans="47:79" x14ac:dyDescent="0.3">
      <c r="AU99" s="65"/>
      <c r="AV99" s="66"/>
      <c r="BA99" s="4"/>
      <c r="BC99" s="69">
        <v>1</v>
      </c>
      <c r="BD99" s="65">
        <v>45908</v>
      </c>
      <c r="BE99" s="123">
        <v>24</v>
      </c>
      <c r="BF99" s="123">
        <v>6</v>
      </c>
      <c r="BG99" s="2">
        <v>31</v>
      </c>
      <c r="BH99" s="62" t="s">
        <v>890</v>
      </c>
      <c r="BI99" s="62" t="s">
        <v>891</v>
      </c>
      <c r="BJ99" s="63">
        <v>402</v>
      </c>
      <c r="BK99" s="62" t="s">
        <v>93</v>
      </c>
      <c r="BL99" s="64" t="s">
        <v>266</v>
      </c>
      <c r="BO99" s="53" t="s">
        <v>94</v>
      </c>
      <c r="BP99" s="53" t="s">
        <v>1537</v>
      </c>
      <c r="BQ99" s="54">
        <v>45063</v>
      </c>
      <c r="BR99" s="53" t="s">
        <v>95</v>
      </c>
      <c r="BS99" s="53" t="s">
        <v>205</v>
      </c>
      <c r="BT99" s="53" t="s">
        <v>1469</v>
      </c>
      <c r="BU99" s="4"/>
      <c r="BZ99" s="57">
        <f t="shared" si="9"/>
        <v>42093</v>
      </c>
      <c r="CA99" s="2">
        <f t="shared" si="10"/>
        <v>14</v>
      </c>
    </row>
    <row r="100" spans="47:79" x14ac:dyDescent="0.3">
      <c r="AU100" s="65"/>
      <c r="AV100" s="66"/>
      <c r="BA100" s="4"/>
      <c r="BC100" s="69">
        <v>2</v>
      </c>
      <c r="BD100" s="65">
        <v>45915</v>
      </c>
      <c r="BE100" s="123">
        <v>25</v>
      </c>
      <c r="BF100" s="123">
        <v>6</v>
      </c>
      <c r="BG100" s="2">
        <v>32</v>
      </c>
      <c r="BH100" s="62" t="s">
        <v>892</v>
      </c>
      <c r="BI100" s="62" t="s">
        <v>893</v>
      </c>
      <c r="BJ100" s="63">
        <v>850</v>
      </c>
      <c r="BK100" s="62" t="s">
        <v>93</v>
      </c>
      <c r="BL100" s="64" t="s">
        <v>291</v>
      </c>
      <c r="BO100" s="53" t="s">
        <v>94</v>
      </c>
      <c r="BP100" s="53" t="s">
        <v>2038</v>
      </c>
      <c r="BQ100" s="54">
        <v>45257</v>
      </c>
      <c r="BR100" s="53" t="s">
        <v>95</v>
      </c>
      <c r="BS100" s="53" t="s">
        <v>205</v>
      </c>
      <c r="BT100" s="53" t="s">
        <v>2037</v>
      </c>
      <c r="BU100" s="4"/>
      <c r="BZ100" s="57">
        <f t="shared" si="9"/>
        <v>42100</v>
      </c>
      <c r="CA100" s="2">
        <f t="shared" si="10"/>
        <v>15</v>
      </c>
    </row>
    <row r="101" spans="47:79" x14ac:dyDescent="0.3">
      <c r="AU101" s="65"/>
      <c r="AV101" s="66"/>
      <c r="BA101" s="4"/>
      <c r="BC101" s="69">
        <v>3</v>
      </c>
      <c r="BD101" s="65">
        <v>45922</v>
      </c>
      <c r="BE101" s="123">
        <v>26</v>
      </c>
      <c r="BF101" s="123">
        <v>6</v>
      </c>
      <c r="BG101" s="2">
        <v>33</v>
      </c>
      <c r="BH101" s="62" t="s">
        <v>894</v>
      </c>
      <c r="BI101" s="62" t="s">
        <v>895</v>
      </c>
      <c r="BJ101" s="63">
        <v>405</v>
      </c>
      <c r="BK101" s="62" t="s">
        <v>93</v>
      </c>
      <c r="BL101" s="64" t="s">
        <v>305</v>
      </c>
      <c r="BO101" s="53" t="s">
        <v>114</v>
      </c>
      <c r="BP101" s="53" t="s">
        <v>920</v>
      </c>
      <c r="BQ101" s="54">
        <v>45030</v>
      </c>
      <c r="BR101" s="53" t="s">
        <v>95</v>
      </c>
      <c r="BS101" s="53" t="s">
        <v>683</v>
      </c>
      <c r="BT101" s="53" t="s">
        <v>1301</v>
      </c>
      <c r="BU101" s="4"/>
      <c r="BZ101" s="57">
        <f t="shared" si="9"/>
        <v>42107</v>
      </c>
      <c r="CA101" s="2">
        <f t="shared" si="10"/>
        <v>16</v>
      </c>
    </row>
    <row r="102" spans="47:79" x14ac:dyDescent="0.3">
      <c r="AU102" s="65"/>
      <c r="AV102" s="66"/>
      <c r="BA102" s="4"/>
      <c r="BC102" s="69">
        <v>4</v>
      </c>
      <c r="BD102" s="65">
        <v>45929</v>
      </c>
      <c r="BE102" s="123">
        <v>27</v>
      </c>
      <c r="BF102" s="123">
        <v>6</v>
      </c>
      <c r="BG102" s="2">
        <v>34</v>
      </c>
      <c r="BH102" s="62" t="s">
        <v>896</v>
      </c>
      <c r="BI102" s="62" t="s">
        <v>897</v>
      </c>
      <c r="BJ102" s="63">
        <v>407</v>
      </c>
      <c r="BK102" s="62" t="s">
        <v>93</v>
      </c>
      <c r="BL102" s="64" t="s">
        <v>94</v>
      </c>
      <c r="BO102" s="53" t="s">
        <v>94</v>
      </c>
      <c r="BP102" s="53" t="s">
        <v>1230</v>
      </c>
      <c r="BQ102" s="54">
        <v>44692</v>
      </c>
      <c r="BR102" s="53" t="s">
        <v>95</v>
      </c>
      <c r="BS102" s="53" t="s">
        <v>200</v>
      </c>
      <c r="BT102" s="53" t="s">
        <v>1229</v>
      </c>
      <c r="BU102" s="4"/>
      <c r="BZ102" s="57">
        <f t="shared" si="9"/>
        <v>42114</v>
      </c>
      <c r="CA102" s="2">
        <f t="shared" si="10"/>
        <v>17</v>
      </c>
    </row>
    <row r="103" spans="47:79" x14ac:dyDescent="0.3">
      <c r="AU103" s="65"/>
      <c r="AV103" s="66"/>
      <c r="BA103" s="4"/>
      <c r="BC103" s="69">
        <v>5</v>
      </c>
      <c r="BD103" s="65">
        <v>45936</v>
      </c>
      <c r="BE103" s="123">
        <v>28</v>
      </c>
      <c r="BF103" s="123">
        <v>7</v>
      </c>
      <c r="BG103" s="2">
        <v>35</v>
      </c>
      <c r="BH103" s="62" t="s">
        <v>898</v>
      </c>
      <c r="BI103" s="62" t="s">
        <v>899</v>
      </c>
      <c r="BJ103" s="63">
        <v>406</v>
      </c>
      <c r="BK103" s="62" t="s">
        <v>93</v>
      </c>
      <c r="BL103" s="64" t="s">
        <v>84</v>
      </c>
      <c r="BO103" s="53" t="s">
        <v>94</v>
      </c>
      <c r="BP103" s="53" t="s">
        <v>2034</v>
      </c>
      <c r="BQ103" s="54">
        <v>45224</v>
      </c>
      <c r="BR103" s="53" t="s">
        <v>95</v>
      </c>
      <c r="BS103" s="53" t="s">
        <v>200</v>
      </c>
      <c r="BT103" s="53" t="s">
        <v>1926</v>
      </c>
      <c r="BU103" s="4"/>
      <c r="BZ103" s="57">
        <f t="shared" si="9"/>
        <v>42121</v>
      </c>
      <c r="CA103" s="2">
        <f t="shared" si="10"/>
        <v>18</v>
      </c>
    </row>
    <row r="104" spans="47:79" x14ac:dyDescent="0.3">
      <c r="AU104" s="65"/>
      <c r="AV104" s="66"/>
      <c r="BA104" s="4"/>
      <c r="BC104" s="69">
        <v>6</v>
      </c>
      <c r="BD104" s="65">
        <v>45943</v>
      </c>
      <c r="BE104" s="123">
        <v>29</v>
      </c>
      <c r="BF104" s="123">
        <v>7</v>
      </c>
      <c r="BG104" s="2">
        <v>36</v>
      </c>
      <c r="BH104" s="62" t="s">
        <v>900</v>
      </c>
      <c r="BI104" s="62" t="s">
        <v>901</v>
      </c>
      <c r="BJ104" s="63">
        <v>408</v>
      </c>
      <c r="BK104" s="62" t="s">
        <v>93</v>
      </c>
      <c r="BL104" s="64" t="s">
        <v>291</v>
      </c>
      <c r="BO104" s="53" t="s">
        <v>94</v>
      </c>
      <c r="BP104" s="53" t="s">
        <v>2122</v>
      </c>
      <c r="BQ104" s="54">
        <v>45295</v>
      </c>
      <c r="BR104" s="53" t="s">
        <v>95</v>
      </c>
      <c r="BS104" s="53" t="s">
        <v>200</v>
      </c>
      <c r="BT104" s="53" t="s">
        <v>2121</v>
      </c>
      <c r="BU104" s="4"/>
      <c r="BZ104" s="57">
        <f t="shared" si="9"/>
        <v>42128</v>
      </c>
      <c r="CA104" s="2">
        <f t="shared" si="10"/>
        <v>19</v>
      </c>
    </row>
    <row r="105" spans="47:79" x14ac:dyDescent="0.3">
      <c r="AU105" s="65"/>
      <c r="AV105" s="66"/>
      <c r="BA105" s="4"/>
      <c r="BC105" s="4"/>
      <c r="BD105" s="65">
        <v>45950</v>
      </c>
      <c r="BE105" s="123">
        <v>30</v>
      </c>
      <c r="BF105" s="123">
        <v>7</v>
      </c>
      <c r="BG105" s="2">
        <v>37</v>
      </c>
      <c r="BH105" s="62" t="s">
        <v>902</v>
      </c>
      <c r="BI105" s="62" t="s">
        <v>903</v>
      </c>
      <c r="BJ105" s="63">
        <v>409</v>
      </c>
      <c r="BK105" s="62" t="s">
        <v>93</v>
      </c>
      <c r="BL105" s="64" t="s">
        <v>220</v>
      </c>
      <c r="BO105" s="53" t="s">
        <v>94</v>
      </c>
      <c r="BP105" s="53" t="s">
        <v>1232</v>
      </c>
      <c r="BQ105" s="54">
        <v>44915</v>
      </c>
      <c r="BR105" s="53" t="s">
        <v>95</v>
      </c>
      <c r="BS105" s="53" t="s">
        <v>221</v>
      </c>
      <c r="BT105" s="53" t="s">
        <v>1231</v>
      </c>
      <c r="BU105" s="4"/>
      <c r="BZ105" s="57">
        <f t="shared" si="9"/>
        <v>42135</v>
      </c>
      <c r="CA105" s="2">
        <f t="shared" si="10"/>
        <v>20</v>
      </c>
    </row>
    <row r="106" spans="47:79" x14ac:dyDescent="0.3">
      <c r="AU106" s="65"/>
      <c r="AV106" s="66"/>
      <c r="BA106" s="4"/>
      <c r="BC106" s="4"/>
      <c r="BD106" s="65">
        <v>45957</v>
      </c>
      <c r="BE106" s="123">
        <v>31</v>
      </c>
      <c r="BF106" s="123">
        <v>7</v>
      </c>
      <c r="BG106" s="2">
        <v>38</v>
      </c>
      <c r="BH106" s="62" t="s">
        <v>1008</v>
      </c>
      <c r="BI106" s="62" t="s">
        <v>1009</v>
      </c>
      <c r="BJ106" s="63">
        <v>410</v>
      </c>
      <c r="BK106" s="62" t="s">
        <v>93</v>
      </c>
      <c r="BL106" s="64" t="s">
        <v>94</v>
      </c>
      <c r="BO106" s="53" t="s">
        <v>94</v>
      </c>
      <c r="BP106" s="53" t="s">
        <v>1683</v>
      </c>
      <c r="BQ106" s="54">
        <v>45124</v>
      </c>
      <c r="BR106" s="53" t="s">
        <v>95</v>
      </c>
      <c r="BS106" s="53" t="s">
        <v>115</v>
      </c>
      <c r="BT106" s="53" t="s">
        <v>1682</v>
      </c>
      <c r="BU106" s="4"/>
      <c r="BZ106" s="57">
        <f t="shared" si="9"/>
        <v>42142</v>
      </c>
      <c r="CA106" s="2">
        <f t="shared" si="10"/>
        <v>21</v>
      </c>
    </row>
    <row r="107" spans="47:79" x14ac:dyDescent="0.3">
      <c r="AU107" s="65"/>
      <c r="AV107" s="66"/>
      <c r="BA107" s="4"/>
      <c r="BC107" s="4"/>
      <c r="BD107" s="65">
        <v>45964</v>
      </c>
      <c r="BE107" s="123">
        <v>32</v>
      </c>
      <c r="BF107" s="123">
        <v>8</v>
      </c>
      <c r="BG107" s="2">
        <v>39</v>
      </c>
      <c r="BH107" s="62" t="s">
        <v>1010</v>
      </c>
      <c r="BI107" s="62" t="s">
        <v>1011</v>
      </c>
      <c r="BJ107" s="63">
        <v>849</v>
      </c>
      <c r="BK107" s="62" t="s">
        <v>93</v>
      </c>
      <c r="BL107" s="64" t="s">
        <v>84</v>
      </c>
      <c r="BO107" s="53" t="s">
        <v>94</v>
      </c>
      <c r="BP107" s="53" t="s">
        <v>2124</v>
      </c>
      <c r="BQ107" s="54">
        <v>45280</v>
      </c>
      <c r="BR107" s="53" t="s">
        <v>95</v>
      </c>
      <c r="BS107" s="53" t="s">
        <v>115</v>
      </c>
      <c r="BT107" s="53" t="s">
        <v>2123</v>
      </c>
      <c r="BU107" s="4"/>
      <c r="BZ107" s="57">
        <f t="shared" si="9"/>
        <v>42149</v>
      </c>
      <c r="CA107" s="2">
        <f t="shared" si="10"/>
        <v>22</v>
      </c>
    </row>
    <row r="108" spans="47:79" x14ac:dyDescent="0.3">
      <c r="AU108" s="65"/>
      <c r="AV108" s="66"/>
      <c r="BA108" s="4"/>
      <c r="BC108" s="4"/>
      <c r="BD108" s="65">
        <v>45971</v>
      </c>
      <c r="BE108" s="123">
        <v>33</v>
      </c>
      <c r="BF108" s="123">
        <v>8</v>
      </c>
      <c r="BG108" s="2">
        <v>40</v>
      </c>
      <c r="BH108" s="62" t="s">
        <v>1012</v>
      </c>
      <c r="BI108" s="62" t="s">
        <v>1013</v>
      </c>
      <c r="BJ108" s="63">
        <v>848</v>
      </c>
      <c r="BK108" s="62" t="s">
        <v>93</v>
      </c>
      <c r="BL108" s="64" t="s">
        <v>84</v>
      </c>
      <c r="BO108" s="53" t="s">
        <v>94</v>
      </c>
      <c r="BP108" s="53" t="s">
        <v>1388</v>
      </c>
      <c r="BQ108" s="54">
        <v>44937</v>
      </c>
      <c r="BR108" s="53" t="s">
        <v>95</v>
      </c>
      <c r="BS108" s="53" t="s">
        <v>205</v>
      </c>
      <c r="BT108" s="53" t="s">
        <v>1387</v>
      </c>
      <c r="BU108" s="4"/>
      <c r="BZ108" s="57">
        <f t="shared" si="9"/>
        <v>42156</v>
      </c>
      <c r="CA108" s="2">
        <f t="shared" si="10"/>
        <v>23</v>
      </c>
    </row>
    <row r="109" spans="47:79" x14ac:dyDescent="0.3">
      <c r="AU109" s="65"/>
      <c r="AV109" s="66"/>
      <c r="BA109" s="4"/>
      <c r="BC109" s="4"/>
      <c r="BD109" s="65">
        <v>45978</v>
      </c>
      <c r="BE109" s="123">
        <v>34</v>
      </c>
      <c r="BF109" s="123">
        <v>8</v>
      </c>
      <c r="BG109" s="2">
        <v>41</v>
      </c>
      <c r="BH109" s="62" t="s">
        <v>1014</v>
      </c>
      <c r="BI109" s="62" t="s">
        <v>1015</v>
      </c>
      <c r="BJ109" s="63">
        <v>412</v>
      </c>
      <c r="BK109" s="62" t="s">
        <v>93</v>
      </c>
      <c r="BL109" s="64" t="s">
        <v>119</v>
      </c>
      <c r="BO109" s="53" t="s">
        <v>114</v>
      </c>
      <c r="BP109" s="53" t="s">
        <v>1901</v>
      </c>
      <c r="BQ109" s="54">
        <v>45225</v>
      </c>
      <c r="BR109" s="53" t="s">
        <v>95</v>
      </c>
      <c r="BS109" s="53" t="s">
        <v>1737</v>
      </c>
      <c r="BT109" s="53" t="s">
        <v>1900</v>
      </c>
      <c r="BU109" s="4"/>
      <c r="BZ109" s="57">
        <f t="shared" si="9"/>
        <v>42163</v>
      </c>
      <c r="CA109" s="2">
        <f t="shared" si="10"/>
        <v>24</v>
      </c>
    </row>
    <row r="110" spans="47:79" x14ac:dyDescent="0.3">
      <c r="AU110" s="65"/>
      <c r="AV110" s="66"/>
      <c r="BA110" s="4"/>
      <c r="BC110" s="4"/>
      <c r="BD110" s="65">
        <v>45985</v>
      </c>
      <c r="BE110" s="123">
        <v>35</v>
      </c>
      <c r="BF110" s="123">
        <v>8</v>
      </c>
      <c r="BG110" s="2">
        <v>42</v>
      </c>
      <c r="BH110" s="62" t="s">
        <v>1016</v>
      </c>
      <c r="BI110" s="62" t="s">
        <v>1017</v>
      </c>
      <c r="BJ110" s="63">
        <v>411</v>
      </c>
      <c r="BK110" s="62" t="s">
        <v>93</v>
      </c>
      <c r="BL110" s="64" t="s">
        <v>312</v>
      </c>
      <c r="BO110" s="53" t="s">
        <v>94</v>
      </c>
      <c r="BP110" s="53" t="s">
        <v>1538</v>
      </c>
      <c r="BQ110" s="54">
        <v>44986</v>
      </c>
      <c r="BR110" s="53" t="s">
        <v>95</v>
      </c>
      <c r="BS110" s="53" t="s">
        <v>252</v>
      </c>
      <c r="BT110" s="53" t="s">
        <v>1389</v>
      </c>
      <c r="BU110" s="4"/>
      <c r="BZ110" s="57">
        <f t="shared" si="9"/>
        <v>42170</v>
      </c>
      <c r="CA110" s="2">
        <f t="shared" si="10"/>
        <v>25</v>
      </c>
    </row>
    <row r="111" spans="47:79" x14ac:dyDescent="0.3">
      <c r="AU111" s="65"/>
      <c r="AV111" s="66"/>
      <c r="BA111" s="4"/>
      <c r="BC111" s="4"/>
      <c r="BD111" s="65">
        <v>45992</v>
      </c>
      <c r="BE111" s="123">
        <v>36</v>
      </c>
      <c r="BF111" s="123">
        <v>9</v>
      </c>
      <c r="BG111" s="2">
        <v>43</v>
      </c>
      <c r="BH111" s="62" t="s">
        <v>1018</v>
      </c>
      <c r="BI111" s="62" t="s">
        <v>1019</v>
      </c>
      <c r="BJ111" s="63">
        <v>847</v>
      </c>
      <c r="BK111" s="62" t="s">
        <v>93</v>
      </c>
      <c r="BL111" s="64" t="s">
        <v>1020</v>
      </c>
      <c r="BO111" s="53" t="s">
        <v>94</v>
      </c>
      <c r="BP111" s="53" t="s">
        <v>243</v>
      </c>
      <c r="BQ111" s="54">
        <v>44342</v>
      </c>
      <c r="BR111" s="53" t="s">
        <v>95</v>
      </c>
      <c r="BS111" s="53" t="s">
        <v>240</v>
      </c>
      <c r="BT111" s="53" t="s">
        <v>244</v>
      </c>
      <c r="BU111" s="4"/>
      <c r="BZ111" s="57">
        <f t="shared" si="9"/>
        <v>42177</v>
      </c>
      <c r="CA111" s="2">
        <f t="shared" si="10"/>
        <v>26</v>
      </c>
    </row>
    <row r="112" spans="47:79" x14ac:dyDescent="0.3">
      <c r="AU112" s="65"/>
      <c r="AV112" s="66"/>
      <c r="BA112" s="4"/>
      <c r="BC112" s="4"/>
      <c r="BD112" s="65">
        <v>45999</v>
      </c>
      <c r="BE112" s="123">
        <v>37</v>
      </c>
      <c r="BF112" s="123">
        <v>9</v>
      </c>
      <c r="BG112" s="2">
        <v>44</v>
      </c>
      <c r="BH112" s="62" t="s">
        <v>1021</v>
      </c>
      <c r="BI112" s="62" t="s">
        <v>1022</v>
      </c>
      <c r="BJ112" s="63">
        <v>413</v>
      </c>
      <c r="BK112" s="62" t="s">
        <v>93</v>
      </c>
      <c r="BL112" s="64" t="s">
        <v>220</v>
      </c>
      <c r="BO112" s="53" t="s">
        <v>94</v>
      </c>
      <c r="BP112" s="53" t="s">
        <v>1540</v>
      </c>
      <c r="BQ112" s="54">
        <v>45082</v>
      </c>
      <c r="BR112" s="53" t="s">
        <v>95</v>
      </c>
      <c r="BS112" s="53" t="s">
        <v>240</v>
      </c>
      <c r="BT112" s="53" t="s">
        <v>1539</v>
      </c>
      <c r="BU112" s="4"/>
      <c r="BZ112" s="57">
        <f t="shared" si="9"/>
        <v>42184</v>
      </c>
      <c r="CA112" s="2">
        <f t="shared" si="10"/>
        <v>27</v>
      </c>
    </row>
    <row r="113" spans="47:79" x14ac:dyDescent="0.3">
      <c r="AU113" s="65"/>
      <c r="AV113" s="66"/>
      <c r="BA113" s="4"/>
      <c r="BC113" s="4"/>
      <c r="BD113" s="65">
        <v>46006</v>
      </c>
      <c r="BE113" s="123">
        <v>38</v>
      </c>
      <c r="BF113" s="123">
        <v>9</v>
      </c>
      <c r="BG113" s="2">
        <v>45</v>
      </c>
      <c r="BH113" s="62" t="s">
        <v>1023</v>
      </c>
      <c r="BI113" s="62" t="s">
        <v>1024</v>
      </c>
      <c r="BJ113" s="63">
        <v>414</v>
      </c>
      <c r="BK113" s="62" t="s">
        <v>93</v>
      </c>
      <c r="BL113" s="64" t="s">
        <v>131</v>
      </c>
      <c r="BO113" s="53" t="s">
        <v>94</v>
      </c>
      <c r="BP113" s="53" t="s">
        <v>2067</v>
      </c>
      <c r="BQ113" s="54">
        <v>45260</v>
      </c>
      <c r="BR113" s="53" t="s">
        <v>95</v>
      </c>
      <c r="BS113" s="53" t="s">
        <v>240</v>
      </c>
      <c r="BT113" s="53" t="s">
        <v>2066</v>
      </c>
      <c r="BU113" s="4"/>
      <c r="BZ113" s="57">
        <f t="shared" si="9"/>
        <v>42191</v>
      </c>
      <c r="CA113" s="2">
        <f t="shared" si="10"/>
        <v>28</v>
      </c>
    </row>
    <row r="114" spans="47:79" x14ac:dyDescent="0.3">
      <c r="AU114" s="65"/>
      <c r="AV114" s="66"/>
      <c r="BA114" s="4"/>
      <c r="BC114" s="4"/>
      <c r="BD114" s="65">
        <v>46013</v>
      </c>
      <c r="BE114" s="123">
        <v>39</v>
      </c>
      <c r="BF114" s="123">
        <v>9</v>
      </c>
      <c r="BG114" s="2">
        <v>46</v>
      </c>
      <c r="BH114" s="62" t="s">
        <v>1025</v>
      </c>
      <c r="BI114" s="62" t="s">
        <v>1026</v>
      </c>
      <c r="BJ114" s="63">
        <v>415</v>
      </c>
      <c r="BK114" s="62" t="s">
        <v>93</v>
      </c>
      <c r="BL114" s="64" t="s">
        <v>220</v>
      </c>
      <c r="BO114" s="53" t="s">
        <v>94</v>
      </c>
      <c r="BP114" s="53" t="s">
        <v>2069</v>
      </c>
      <c r="BQ114" s="54">
        <v>45260</v>
      </c>
      <c r="BR114" s="53" t="s">
        <v>95</v>
      </c>
      <c r="BS114" s="53" t="s">
        <v>240</v>
      </c>
      <c r="BT114" s="53" t="s">
        <v>2068</v>
      </c>
      <c r="BU114" s="4"/>
      <c r="BZ114" s="57">
        <f t="shared" si="9"/>
        <v>42198</v>
      </c>
      <c r="CA114" s="2">
        <f t="shared" si="10"/>
        <v>29</v>
      </c>
    </row>
    <row r="115" spans="47:79" x14ac:dyDescent="0.3">
      <c r="AU115" s="65"/>
      <c r="AV115" s="66"/>
      <c r="BA115" s="4"/>
      <c r="BC115" s="4"/>
      <c r="BD115" s="65">
        <v>46020</v>
      </c>
      <c r="BE115" s="123">
        <v>40</v>
      </c>
      <c r="BF115" s="123">
        <v>9</v>
      </c>
      <c r="BG115" s="2">
        <v>47</v>
      </c>
      <c r="BH115" s="62" t="s">
        <v>1027</v>
      </c>
      <c r="BI115" s="62" t="s">
        <v>1028</v>
      </c>
      <c r="BJ115" s="63">
        <v>844</v>
      </c>
      <c r="BK115" s="62" t="s">
        <v>93</v>
      </c>
      <c r="BL115" s="64" t="s">
        <v>1020</v>
      </c>
      <c r="BO115" s="53" t="s">
        <v>94</v>
      </c>
      <c r="BP115" s="53" t="s">
        <v>1541</v>
      </c>
      <c r="BQ115" s="54">
        <v>45022</v>
      </c>
      <c r="BR115" s="53" t="s">
        <v>95</v>
      </c>
      <c r="BS115" s="53" t="s">
        <v>205</v>
      </c>
      <c r="BT115" s="53" t="s">
        <v>1390</v>
      </c>
      <c r="BU115" s="4"/>
      <c r="BZ115" s="57">
        <f t="shared" si="9"/>
        <v>42205</v>
      </c>
      <c r="CA115" s="2">
        <f t="shared" si="10"/>
        <v>30</v>
      </c>
    </row>
    <row r="116" spans="47:79" x14ac:dyDescent="0.3">
      <c r="AU116" s="65"/>
      <c r="AV116" s="66"/>
      <c r="BA116" s="4"/>
      <c r="BC116" s="4"/>
      <c r="BD116" s="65">
        <v>46027</v>
      </c>
      <c r="BE116" s="123">
        <v>41</v>
      </c>
      <c r="BF116" s="123">
        <v>10</v>
      </c>
      <c r="BG116" s="2">
        <v>48</v>
      </c>
      <c r="BH116" s="62" t="s">
        <v>1029</v>
      </c>
      <c r="BI116" s="62" t="s">
        <v>1030</v>
      </c>
      <c r="BJ116" s="63">
        <v>416</v>
      </c>
      <c r="BK116" s="62" t="s">
        <v>93</v>
      </c>
      <c r="BL116" s="64" t="s">
        <v>131</v>
      </c>
      <c r="BO116" s="53" t="s">
        <v>94</v>
      </c>
      <c r="BP116" s="53" t="s">
        <v>1882</v>
      </c>
      <c r="BQ116" s="54">
        <v>45216</v>
      </c>
      <c r="BR116" s="53" t="s">
        <v>95</v>
      </c>
      <c r="BS116" s="53" t="s">
        <v>1091</v>
      </c>
      <c r="BT116" s="53" t="s">
        <v>1881</v>
      </c>
      <c r="BU116" s="4"/>
      <c r="BZ116" s="57">
        <f t="shared" si="9"/>
        <v>42212</v>
      </c>
      <c r="CA116" s="2">
        <f t="shared" si="10"/>
        <v>31</v>
      </c>
    </row>
    <row r="117" spans="47:79" x14ac:dyDescent="0.3">
      <c r="AU117" s="65"/>
      <c r="AV117" s="66"/>
      <c r="BA117" s="4"/>
      <c r="BC117" s="4"/>
      <c r="BD117" s="65">
        <v>46034</v>
      </c>
      <c r="BE117" s="123">
        <v>42</v>
      </c>
      <c r="BF117" s="123">
        <v>10</v>
      </c>
      <c r="BG117" s="2">
        <v>49</v>
      </c>
      <c r="BH117" s="62" t="s">
        <v>1031</v>
      </c>
      <c r="BI117" s="62" t="s">
        <v>1032</v>
      </c>
      <c r="BJ117" s="63">
        <v>841</v>
      </c>
      <c r="BK117" s="62" t="s">
        <v>93</v>
      </c>
      <c r="BL117" s="64" t="s">
        <v>266</v>
      </c>
      <c r="BO117" s="53" t="s">
        <v>94</v>
      </c>
      <c r="BP117" s="53" t="s">
        <v>2071</v>
      </c>
      <c r="BQ117" s="54">
        <v>45259</v>
      </c>
      <c r="BR117" s="53" t="s">
        <v>95</v>
      </c>
      <c r="BS117" s="53" t="s">
        <v>1091</v>
      </c>
      <c r="BT117" s="53" t="s">
        <v>2070</v>
      </c>
      <c r="BU117" s="4"/>
      <c r="BZ117" s="57">
        <f t="shared" si="9"/>
        <v>42219</v>
      </c>
      <c r="CA117" s="2">
        <f t="shared" si="10"/>
        <v>32</v>
      </c>
    </row>
    <row r="118" spans="47:79" x14ac:dyDescent="0.3">
      <c r="AU118" s="65"/>
      <c r="AV118" s="66"/>
      <c r="BA118" s="4"/>
      <c r="BC118" s="4"/>
      <c r="BD118" s="65">
        <v>46041</v>
      </c>
      <c r="BE118" s="123">
        <v>43</v>
      </c>
      <c r="BF118" s="123">
        <v>10</v>
      </c>
      <c r="BG118" s="2">
        <v>50</v>
      </c>
      <c r="BH118" s="62" t="s">
        <v>1033</v>
      </c>
      <c r="BI118" s="62" t="s">
        <v>1034</v>
      </c>
      <c r="BJ118" s="63">
        <v>421</v>
      </c>
      <c r="BK118" s="62" t="s">
        <v>93</v>
      </c>
      <c r="BL118" s="64" t="s">
        <v>84</v>
      </c>
      <c r="BO118" s="53" t="s">
        <v>94</v>
      </c>
      <c r="BP118" s="53" t="s">
        <v>884</v>
      </c>
      <c r="BQ118" s="54">
        <v>44427</v>
      </c>
      <c r="BR118" s="53" t="s">
        <v>95</v>
      </c>
      <c r="BS118" s="53" t="s">
        <v>247</v>
      </c>
      <c r="BT118" s="53" t="s">
        <v>883</v>
      </c>
      <c r="BU118" s="4"/>
      <c r="BZ118" s="57">
        <f t="shared" si="9"/>
        <v>42226</v>
      </c>
      <c r="CA118" s="2">
        <f t="shared" si="10"/>
        <v>33</v>
      </c>
    </row>
    <row r="119" spans="47:79" x14ac:dyDescent="0.3">
      <c r="AU119" s="65"/>
      <c r="AV119" s="66"/>
      <c r="BA119" s="4"/>
      <c r="BC119" s="4"/>
      <c r="BD119" s="65">
        <v>46048</v>
      </c>
      <c r="BE119" s="123">
        <v>44</v>
      </c>
      <c r="BF119" s="123">
        <v>10</v>
      </c>
      <c r="BG119" s="2">
        <v>51</v>
      </c>
      <c r="BH119" s="62" t="s">
        <v>1035</v>
      </c>
      <c r="BI119" s="62" t="s">
        <v>1036</v>
      </c>
      <c r="BJ119" s="63">
        <v>422</v>
      </c>
      <c r="BK119" s="62" t="s">
        <v>93</v>
      </c>
      <c r="BL119" s="64" t="s">
        <v>320</v>
      </c>
      <c r="BO119" s="53" t="s">
        <v>114</v>
      </c>
      <c r="BP119" s="53" t="s">
        <v>1303</v>
      </c>
      <c r="BQ119" s="54">
        <v>45029</v>
      </c>
      <c r="BR119" s="53" t="s">
        <v>95</v>
      </c>
      <c r="BS119" s="53" t="s">
        <v>205</v>
      </c>
      <c r="BT119" s="53" t="s">
        <v>1302</v>
      </c>
      <c r="BU119" s="4"/>
      <c r="BZ119" s="57">
        <f t="shared" si="9"/>
        <v>42233</v>
      </c>
      <c r="CA119" s="2">
        <f t="shared" si="10"/>
        <v>34</v>
      </c>
    </row>
    <row r="120" spans="47:79" x14ac:dyDescent="0.3">
      <c r="AU120" s="65"/>
      <c r="AV120" s="66"/>
      <c r="BA120" s="4"/>
      <c r="BC120" s="4"/>
      <c r="BD120" s="65">
        <v>46055</v>
      </c>
      <c r="BE120" s="123">
        <v>45</v>
      </c>
      <c r="BF120" s="123">
        <v>11</v>
      </c>
      <c r="BG120" s="2">
        <v>52</v>
      </c>
      <c r="BH120" s="62" t="s">
        <v>1037</v>
      </c>
      <c r="BI120" s="62" t="s">
        <v>1038</v>
      </c>
      <c r="BJ120" s="63">
        <v>423</v>
      </c>
      <c r="BK120" s="62" t="s">
        <v>93</v>
      </c>
      <c r="BL120" s="64" t="s">
        <v>220</v>
      </c>
      <c r="BO120" s="53" t="s">
        <v>114</v>
      </c>
      <c r="BP120" s="53" t="s">
        <v>1592</v>
      </c>
      <c r="BQ120" s="54">
        <v>45134</v>
      </c>
      <c r="BR120" s="53" t="s">
        <v>95</v>
      </c>
      <c r="BS120" s="53" t="s">
        <v>205</v>
      </c>
      <c r="BT120" s="53" t="s">
        <v>1591</v>
      </c>
      <c r="BU120" s="4"/>
      <c r="BZ120" s="57">
        <f t="shared" si="9"/>
        <v>42240</v>
      </c>
      <c r="CA120" s="2">
        <f t="shared" si="10"/>
        <v>35</v>
      </c>
    </row>
    <row r="121" spans="47:79" x14ac:dyDescent="0.3">
      <c r="AU121" s="65"/>
      <c r="AV121" s="66"/>
      <c r="BA121" s="4"/>
      <c r="BC121" s="4"/>
      <c r="BD121" s="65">
        <v>46062</v>
      </c>
      <c r="BE121" s="123">
        <v>46</v>
      </c>
      <c r="BF121" s="123">
        <v>11</v>
      </c>
      <c r="BG121" s="2">
        <v>1</v>
      </c>
      <c r="BH121" s="62" t="s">
        <v>1039</v>
      </c>
      <c r="BI121" s="62" t="s">
        <v>1040</v>
      </c>
      <c r="BJ121" s="63">
        <v>425</v>
      </c>
      <c r="BK121" s="62" t="s">
        <v>93</v>
      </c>
      <c r="BL121" s="64" t="s">
        <v>320</v>
      </c>
      <c r="BO121" s="53" t="s">
        <v>94</v>
      </c>
      <c r="BP121" s="53" t="s">
        <v>1542</v>
      </c>
      <c r="BQ121" s="54">
        <v>44820</v>
      </c>
      <c r="BR121" s="53" t="s">
        <v>95</v>
      </c>
      <c r="BS121" s="53" t="s">
        <v>1234</v>
      </c>
      <c r="BT121" s="53" t="s">
        <v>1233</v>
      </c>
      <c r="BU121" s="4"/>
      <c r="BZ121" s="57">
        <f t="shared" si="9"/>
        <v>42247</v>
      </c>
      <c r="CA121" s="2">
        <f t="shared" si="10"/>
        <v>36</v>
      </c>
    </row>
    <row r="122" spans="47:79" x14ac:dyDescent="0.3">
      <c r="AU122" s="65"/>
      <c r="AV122" s="66"/>
      <c r="BA122" s="4"/>
      <c r="BC122" s="4"/>
      <c r="BD122" s="65">
        <v>46069</v>
      </c>
      <c r="BE122" s="123">
        <v>47</v>
      </c>
      <c r="BF122" s="123">
        <v>11</v>
      </c>
      <c r="BG122" s="2">
        <v>1</v>
      </c>
      <c r="BH122" s="62" t="s">
        <v>1041</v>
      </c>
      <c r="BI122" s="62" t="s">
        <v>1042</v>
      </c>
      <c r="BJ122" s="63">
        <v>845</v>
      </c>
      <c r="BK122" s="62" t="s">
        <v>93</v>
      </c>
      <c r="BL122" s="64" t="s">
        <v>266</v>
      </c>
      <c r="BO122" s="53" t="s">
        <v>94</v>
      </c>
      <c r="BP122" s="53" t="s">
        <v>1884</v>
      </c>
      <c r="BQ122" s="54">
        <v>45209</v>
      </c>
      <c r="BR122" s="53" t="s">
        <v>95</v>
      </c>
      <c r="BS122" s="53" t="s">
        <v>1581</v>
      </c>
      <c r="BT122" s="53" t="s">
        <v>1883</v>
      </c>
      <c r="BU122" s="4"/>
      <c r="BZ122" s="57">
        <f t="shared" si="9"/>
        <v>42254</v>
      </c>
      <c r="CA122" s="2">
        <f t="shared" si="10"/>
        <v>37</v>
      </c>
    </row>
    <row r="123" spans="47:79" x14ac:dyDescent="0.3">
      <c r="AU123" s="65"/>
      <c r="AV123" s="66"/>
      <c r="BA123" s="4"/>
      <c r="BC123" s="4"/>
      <c r="BD123" s="65">
        <v>46076</v>
      </c>
      <c r="BE123" s="123">
        <v>48</v>
      </c>
      <c r="BF123" s="123">
        <v>11</v>
      </c>
      <c r="BG123" s="2">
        <v>2</v>
      </c>
      <c r="BH123" s="62" t="s">
        <v>1043</v>
      </c>
      <c r="BI123" s="62" t="s">
        <v>1044</v>
      </c>
      <c r="BJ123" s="63">
        <v>427</v>
      </c>
      <c r="BK123" s="62" t="s">
        <v>93</v>
      </c>
      <c r="BL123" s="64" t="s">
        <v>220</v>
      </c>
      <c r="BO123" s="53" t="s">
        <v>135</v>
      </c>
      <c r="BP123" s="53" t="s">
        <v>261</v>
      </c>
      <c r="BQ123" s="54">
        <v>42076</v>
      </c>
      <c r="BR123" s="53" t="s">
        <v>95</v>
      </c>
      <c r="BS123" s="53" t="s">
        <v>262</v>
      </c>
      <c r="BT123" s="53" t="s">
        <v>263</v>
      </c>
      <c r="BU123" s="4"/>
      <c r="BZ123" s="57">
        <f t="shared" si="9"/>
        <v>42261</v>
      </c>
      <c r="CA123" s="2">
        <f t="shared" si="10"/>
        <v>38</v>
      </c>
    </row>
    <row r="124" spans="47:79" x14ac:dyDescent="0.3">
      <c r="AU124" s="65"/>
      <c r="AV124" s="66"/>
      <c r="BA124" s="4"/>
      <c r="BC124" s="4"/>
      <c r="BD124" s="65">
        <v>46083</v>
      </c>
      <c r="BE124" s="123">
        <v>49</v>
      </c>
      <c r="BF124" s="123">
        <v>12</v>
      </c>
      <c r="BG124" s="2">
        <v>3</v>
      </c>
      <c r="BH124" s="62" t="s">
        <v>1045</v>
      </c>
      <c r="BI124" s="62" t="s">
        <v>1046</v>
      </c>
      <c r="BJ124" s="63">
        <v>428</v>
      </c>
      <c r="BK124" s="62" t="s">
        <v>93</v>
      </c>
      <c r="BL124" s="64" t="s">
        <v>84</v>
      </c>
      <c r="BO124" s="53" t="s">
        <v>94</v>
      </c>
      <c r="BP124" s="53" t="s">
        <v>947</v>
      </c>
      <c r="BQ124" s="54">
        <v>44574</v>
      </c>
      <c r="BR124" s="53" t="s">
        <v>95</v>
      </c>
      <c r="BS124" s="53" t="s">
        <v>153</v>
      </c>
      <c r="BT124" s="53" t="s">
        <v>946</v>
      </c>
      <c r="BU124" s="4"/>
      <c r="BZ124" s="57">
        <f t="shared" si="9"/>
        <v>42268</v>
      </c>
      <c r="CA124" s="2">
        <f t="shared" si="10"/>
        <v>39</v>
      </c>
    </row>
    <row r="125" spans="47:79" x14ac:dyDescent="0.3">
      <c r="AU125" s="65"/>
      <c r="AV125" s="66"/>
      <c r="BA125" s="4"/>
      <c r="BC125" s="4"/>
      <c r="BD125" s="65">
        <v>46090</v>
      </c>
      <c r="BE125" s="123">
        <v>50</v>
      </c>
      <c r="BF125" s="123">
        <v>12</v>
      </c>
      <c r="BG125" s="2">
        <v>4</v>
      </c>
      <c r="BH125" s="62" t="s">
        <v>1047</v>
      </c>
      <c r="BI125" s="62" t="s">
        <v>1048</v>
      </c>
      <c r="BJ125" s="63">
        <v>429</v>
      </c>
      <c r="BK125" s="62" t="s">
        <v>93</v>
      </c>
      <c r="BL125" s="64" t="s">
        <v>266</v>
      </c>
      <c r="BO125" s="53" t="s">
        <v>114</v>
      </c>
      <c r="BP125" s="53" t="s">
        <v>2146</v>
      </c>
      <c r="BQ125" s="54">
        <v>45245</v>
      </c>
      <c r="BR125" s="53" t="s">
        <v>95</v>
      </c>
      <c r="BS125" s="53" t="s">
        <v>344</v>
      </c>
      <c r="BT125" s="53" t="s">
        <v>1976</v>
      </c>
      <c r="BU125" s="4"/>
      <c r="BZ125" s="57">
        <f t="shared" si="9"/>
        <v>42275</v>
      </c>
      <c r="CA125" s="2">
        <f t="shared" si="10"/>
        <v>40</v>
      </c>
    </row>
    <row r="126" spans="47:79" x14ac:dyDescent="0.3">
      <c r="AU126" s="65"/>
      <c r="AV126" s="66"/>
      <c r="BA126" s="4"/>
      <c r="BC126" s="4"/>
      <c r="BD126" s="65">
        <v>46097</v>
      </c>
      <c r="BE126" s="123">
        <v>51</v>
      </c>
      <c r="BF126" s="123">
        <v>12</v>
      </c>
      <c r="BG126" s="2">
        <v>5</v>
      </c>
      <c r="BH126" s="62" t="s">
        <v>1049</v>
      </c>
      <c r="BI126" s="62" t="s">
        <v>1050</v>
      </c>
      <c r="BJ126" s="63">
        <v>430</v>
      </c>
      <c r="BK126" s="62" t="s">
        <v>93</v>
      </c>
      <c r="BL126" s="64" t="s">
        <v>291</v>
      </c>
      <c r="BO126" s="53" t="s">
        <v>84</v>
      </c>
      <c r="BP126" s="53" t="s">
        <v>272</v>
      </c>
      <c r="BQ126" s="54">
        <v>42542</v>
      </c>
      <c r="BR126" s="53" t="s">
        <v>95</v>
      </c>
      <c r="BS126" s="53" t="s">
        <v>273</v>
      </c>
      <c r="BT126" s="53" t="s">
        <v>274</v>
      </c>
      <c r="BU126" s="4"/>
      <c r="BZ126" s="57">
        <f t="shared" si="9"/>
        <v>42282</v>
      </c>
      <c r="CA126" s="2">
        <f t="shared" si="10"/>
        <v>41</v>
      </c>
    </row>
    <row r="127" spans="47:79" x14ac:dyDescent="0.3">
      <c r="AU127" s="65"/>
      <c r="AV127" s="66"/>
      <c r="BA127" s="4"/>
      <c r="BC127" s="4"/>
      <c r="BD127" s="65">
        <v>46104</v>
      </c>
      <c r="BE127" s="123">
        <v>52</v>
      </c>
      <c r="BF127" s="123">
        <v>12</v>
      </c>
      <c r="BG127" s="2">
        <v>6</v>
      </c>
      <c r="BH127" s="62" t="s">
        <v>1051</v>
      </c>
      <c r="BI127" s="62" t="s">
        <v>1052</v>
      </c>
      <c r="BJ127" s="63">
        <v>431</v>
      </c>
      <c r="BK127" s="62" t="s">
        <v>93</v>
      </c>
      <c r="BL127" s="64" t="s">
        <v>194</v>
      </c>
      <c r="BO127" s="53" t="s">
        <v>84</v>
      </c>
      <c r="BP127" s="53" t="s">
        <v>277</v>
      </c>
      <c r="BQ127" s="54">
        <v>42762</v>
      </c>
      <c r="BR127" s="53" t="s">
        <v>95</v>
      </c>
      <c r="BS127" s="53" t="s">
        <v>273</v>
      </c>
      <c r="BT127" s="53" t="s">
        <v>280</v>
      </c>
      <c r="BU127" s="4"/>
      <c r="BZ127" s="57">
        <f t="shared" si="9"/>
        <v>42289</v>
      </c>
      <c r="CA127" s="2">
        <f t="shared" si="10"/>
        <v>42</v>
      </c>
    </row>
    <row r="128" spans="47:79" x14ac:dyDescent="0.3">
      <c r="AU128" s="65"/>
      <c r="AV128" s="66"/>
      <c r="BA128" s="4"/>
      <c r="BC128" s="4"/>
      <c r="BD128" s="65">
        <v>46111</v>
      </c>
      <c r="BE128" s="123">
        <v>1</v>
      </c>
      <c r="BF128" s="123">
        <v>1</v>
      </c>
      <c r="BG128" s="2">
        <v>7</v>
      </c>
      <c r="BH128" s="62" t="s">
        <v>1053</v>
      </c>
      <c r="BI128" s="62" t="s">
        <v>1054</v>
      </c>
      <c r="BJ128" s="63">
        <v>432</v>
      </c>
      <c r="BK128" s="62" t="s">
        <v>93</v>
      </c>
      <c r="BL128" s="64" t="s">
        <v>305</v>
      </c>
      <c r="BO128" s="53" t="s">
        <v>84</v>
      </c>
      <c r="BP128" s="53" t="s">
        <v>283</v>
      </c>
      <c r="BQ128" s="54">
        <v>42892</v>
      </c>
      <c r="BR128" s="53" t="s">
        <v>95</v>
      </c>
      <c r="BS128" s="53" t="s">
        <v>273</v>
      </c>
      <c r="BT128" s="53" t="s">
        <v>284</v>
      </c>
      <c r="BU128" s="4"/>
      <c r="BZ128" s="57">
        <f t="shared" si="9"/>
        <v>42296</v>
      </c>
      <c r="CA128" s="2">
        <f t="shared" si="10"/>
        <v>43</v>
      </c>
    </row>
    <row r="129" spans="47:79" x14ac:dyDescent="0.3">
      <c r="AU129" s="65"/>
      <c r="AV129" s="66"/>
      <c r="BA129" s="4"/>
      <c r="BC129" s="4"/>
      <c r="BD129" s="65">
        <v>46118</v>
      </c>
      <c r="BE129" s="123">
        <v>2</v>
      </c>
      <c r="BF129" s="123">
        <v>1</v>
      </c>
      <c r="BG129" s="2">
        <v>8</v>
      </c>
      <c r="BH129" s="62" t="s">
        <v>1055</v>
      </c>
      <c r="BI129" s="62" t="s">
        <v>1056</v>
      </c>
      <c r="BJ129" s="63">
        <v>433</v>
      </c>
      <c r="BK129" s="62" t="s">
        <v>93</v>
      </c>
      <c r="BL129" s="64" t="s">
        <v>291</v>
      </c>
      <c r="BO129" s="53" t="s">
        <v>84</v>
      </c>
      <c r="BP129" s="53" t="s">
        <v>287</v>
      </c>
      <c r="BQ129" s="54">
        <v>42892</v>
      </c>
      <c r="BR129" s="53" t="s">
        <v>95</v>
      </c>
      <c r="BS129" s="53" t="s">
        <v>273</v>
      </c>
      <c r="BT129" s="53" t="s">
        <v>288</v>
      </c>
      <c r="BU129" s="4"/>
      <c r="BZ129" s="57">
        <f t="shared" si="9"/>
        <v>42303</v>
      </c>
      <c r="CA129" s="2">
        <f t="shared" si="10"/>
        <v>44</v>
      </c>
    </row>
    <row r="130" spans="47:79" x14ac:dyDescent="0.3">
      <c r="AU130" s="65"/>
      <c r="AV130" s="66"/>
      <c r="BA130" s="4"/>
      <c r="BC130" s="4"/>
      <c r="BD130" s="65">
        <v>46125</v>
      </c>
      <c r="BE130" s="123">
        <v>3</v>
      </c>
      <c r="BF130" s="123">
        <v>1</v>
      </c>
      <c r="BG130" s="2">
        <v>9</v>
      </c>
      <c r="BH130" s="62" t="s">
        <v>1057</v>
      </c>
      <c r="BI130" s="62" t="s">
        <v>1058</v>
      </c>
      <c r="BJ130" s="63">
        <v>436</v>
      </c>
      <c r="BK130" s="62" t="s">
        <v>93</v>
      </c>
      <c r="BL130" s="64" t="s">
        <v>119</v>
      </c>
      <c r="BO130" s="53" t="s">
        <v>84</v>
      </c>
      <c r="BP130" s="53" t="s">
        <v>292</v>
      </c>
      <c r="BQ130" s="54">
        <v>43264</v>
      </c>
      <c r="BR130" s="53" t="s">
        <v>95</v>
      </c>
      <c r="BS130" s="53" t="s">
        <v>293</v>
      </c>
      <c r="BT130" s="53" t="s">
        <v>294</v>
      </c>
      <c r="BU130" s="4"/>
      <c r="BZ130" s="57">
        <f t="shared" si="9"/>
        <v>42310</v>
      </c>
      <c r="CA130" s="2">
        <f t="shared" si="10"/>
        <v>45</v>
      </c>
    </row>
    <row r="131" spans="47:79" x14ac:dyDescent="0.3">
      <c r="AU131" s="65"/>
      <c r="AV131" s="66"/>
      <c r="BA131" s="4"/>
      <c r="BC131" s="4"/>
      <c r="BD131" s="65">
        <v>46132</v>
      </c>
      <c r="BE131" s="123">
        <v>4</v>
      </c>
      <c r="BF131" s="123">
        <v>1</v>
      </c>
      <c r="BG131" s="2">
        <v>10</v>
      </c>
      <c r="BH131" s="62" t="s">
        <v>1059</v>
      </c>
      <c r="BI131" s="62" t="s">
        <v>1060</v>
      </c>
      <c r="BJ131" s="63">
        <v>439</v>
      </c>
      <c r="BK131" s="62" t="s">
        <v>1061</v>
      </c>
      <c r="BL131" s="64" t="s">
        <v>119</v>
      </c>
      <c r="BO131" s="53" t="s">
        <v>84</v>
      </c>
      <c r="BP131" s="53" t="s">
        <v>299</v>
      </c>
      <c r="BQ131" s="54">
        <v>42542</v>
      </c>
      <c r="BR131" s="53" t="s">
        <v>95</v>
      </c>
      <c r="BS131" s="53" t="s">
        <v>273</v>
      </c>
      <c r="BT131" s="53" t="s">
        <v>300</v>
      </c>
      <c r="BU131" s="4"/>
      <c r="BZ131" s="57">
        <f t="shared" si="9"/>
        <v>42317</v>
      </c>
      <c r="CA131" s="2">
        <f t="shared" si="10"/>
        <v>46</v>
      </c>
    </row>
    <row r="132" spans="47:79" x14ac:dyDescent="0.3">
      <c r="AU132" s="65"/>
      <c r="AV132" s="66"/>
      <c r="BA132" s="4"/>
      <c r="BC132" s="4"/>
      <c r="BD132" s="65">
        <v>46139</v>
      </c>
      <c r="BE132" s="123">
        <v>5</v>
      </c>
      <c r="BF132" s="123">
        <v>2</v>
      </c>
      <c r="BG132" s="2">
        <v>11</v>
      </c>
      <c r="BH132" s="62" t="s">
        <v>1258</v>
      </c>
      <c r="BI132" s="62" t="s">
        <v>1259</v>
      </c>
      <c r="BJ132" s="63">
        <v>441</v>
      </c>
      <c r="BK132" s="62" t="s">
        <v>1260</v>
      </c>
      <c r="BL132" s="64" t="s">
        <v>83</v>
      </c>
      <c r="BO132" s="53" t="s">
        <v>84</v>
      </c>
      <c r="BP132" s="53" t="s">
        <v>1287</v>
      </c>
      <c r="BQ132" s="54">
        <v>44945</v>
      </c>
      <c r="BR132" s="53" t="s">
        <v>95</v>
      </c>
      <c r="BS132" s="53" t="s">
        <v>329</v>
      </c>
      <c r="BT132" s="53" t="s">
        <v>1286</v>
      </c>
      <c r="BU132" s="4"/>
      <c r="BZ132" s="57">
        <f t="shared" si="9"/>
        <v>42324</v>
      </c>
      <c r="CA132" s="2">
        <f t="shared" si="10"/>
        <v>47</v>
      </c>
    </row>
    <row r="133" spans="47:79" x14ac:dyDescent="0.3">
      <c r="AU133" s="65"/>
      <c r="AV133" s="66"/>
      <c r="BA133" s="4"/>
      <c r="BC133" s="4"/>
      <c r="BD133" s="65">
        <v>46146</v>
      </c>
      <c r="BE133" s="66">
        <v>43</v>
      </c>
      <c r="BF133" s="66">
        <v>10</v>
      </c>
      <c r="BG133" s="2">
        <v>4</v>
      </c>
      <c r="BH133" s="62" t="s">
        <v>1261</v>
      </c>
      <c r="BI133" s="62" t="s">
        <v>1262</v>
      </c>
      <c r="BJ133" s="63">
        <v>440</v>
      </c>
      <c r="BK133" s="62" t="s">
        <v>93</v>
      </c>
      <c r="BL133" s="64" t="s">
        <v>220</v>
      </c>
      <c r="BO133" s="53" t="s">
        <v>266</v>
      </c>
      <c r="BP133" s="53" t="s">
        <v>331</v>
      </c>
      <c r="BQ133" s="54">
        <v>43857</v>
      </c>
      <c r="BR133" s="53" t="s">
        <v>95</v>
      </c>
      <c r="BS133" s="53" t="s">
        <v>332</v>
      </c>
      <c r="BT133" s="53" t="s">
        <v>333</v>
      </c>
      <c r="BU133" s="4"/>
      <c r="BZ133" s="57">
        <f t="shared" si="9"/>
        <v>42331</v>
      </c>
      <c r="CA133" s="2">
        <f t="shared" si="10"/>
        <v>48</v>
      </c>
    </row>
    <row r="134" spans="47:79" x14ac:dyDescent="0.3">
      <c r="AU134" s="65"/>
      <c r="AV134" s="66"/>
      <c r="BA134" s="4"/>
      <c r="BC134" s="4"/>
      <c r="BD134" s="65">
        <v>46153</v>
      </c>
      <c r="BE134" s="66">
        <v>44</v>
      </c>
      <c r="BF134" s="66">
        <v>10</v>
      </c>
      <c r="BG134" s="2">
        <v>5</v>
      </c>
      <c r="BH134" s="62" t="s">
        <v>1470</v>
      </c>
      <c r="BI134" s="62" t="s">
        <v>1471</v>
      </c>
      <c r="BJ134" s="63">
        <v>446</v>
      </c>
      <c r="BK134" s="62" t="s">
        <v>93</v>
      </c>
      <c r="BL134" s="64" t="s">
        <v>83</v>
      </c>
      <c r="BO134" s="53" t="s">
        <v>335</v>
      </c>
      <c r="BP134" s="53" t="s">
        <v>336</v>
      </c>
      <c r="BQ134" s="54">
        <v>43151</v>
      </c>
      <c r="BR134" s="53" t="s">
        <v>95</v>
      </c>
      <c r="BS134" s="53" t="s">
        <v>205</v>
      </c>
      <c r="BT134" s="53" t="s">
        <v>337</v>
      </c>
      <c r="BU134" s="4"/>
      <c r="BZ134" s="57">
        <f t="shared" si="9"/>
        <v>42338</v>
      </c>
      <c r="CA134" s="2">
        <f t="shared" si="10"/>
        <v>49</v>
      </c>
    </row>
    <row r="135" spans="47:79" x14ac:dyDescent="0.3">
      <c r="AU135" s="65"/>
      <c r="AV135" s="66"/>
      <c r="BA135" s="4"/>
      <c r="BC135" s="4"/>
      <c r="BD135" s="65">
        <v>46160</v>
      </c>
      <c r="BE135" s="66">
        <v>45</v>
      </c>
      <c r="BF135" s="66">
        <v>12</v>
      </c>
      <c r="BG135" s="2">
        <v>6</v>
      </c>
      <c r="BH135" s="62" t="s">
        <v>1472</v>
      </c>
      <c r="BI135" s="62" t="s">
        <v>1473</v>
      </c>
      <c r="BJ135" s="63">
        <v>447</v>
      </c>
      <c r="BK135" s="62" t="s">
        <v>93</v>
      </c>
      <c r="BL135" s="64" t="s">
        <v>266</v>
      </c>
      <c r="BO135" s="53" t="s">
        <v>335</v>
      </c>
      <c r="BP135" s="53" t="s">
        <v>336</v>
      </c>
      <c r="BQ135" s="54">
        <v>43152</v>
      </c>
      <c r="BR135" s="53" t="s">
        <v>95</v>
      </c>
      <c r="BS135" s="53" t="s">
        <v>205</v>
      </c>
      <c r="BT135" s="53" t="s">
        <v>338</v>
      </c>
      <c r="BU135" s="4"/>
      <c r="BZ135" s="57">
        <f t="shared" ref="BZ135:BZ137" si="11">+BZ134+7</f>
        <v>42345</v>
      </c>
      <c r="CA135" s="2">
        <f t="shared" ref="CA135:CA137" si="12">+CA134+1</f>
        <v>50</v>
      </c>
    </row>
    <row r="136" spans="47:79" x14ac:dyDescent="0.3">
      <c r="AU136" s="65"/>
      <c r="AV136" s="66"/>
      <c r="BA136" s="4"/>
      <c r="BC136" s="4"/>
      <c r="BD136" s="65">
        <v>46167</v>
      </c>
      <c r="BE136" s="66">
        <v>46</v>
      </c>
      <c r="BF136" s="66">
        <v>12</v>
      </c>
      <c r="BG136" s="2">
        <v>7</v>
      </c>
      <c r="BH136" s="62" t="s">
        <v>1474</v>
      </c>
      <c r="BI136" s="62" t="s">
        <v>1475</v>
      </c>
      <c r="BJ136" s="63">
        <v>448</v>
      </c>
      <c r="BK136" s="62" t="s">
        <v>93</v>
      </c>
      <c r="BL136" s="64" t="s">
        <v>266</v>
      </c>
      <c r="BO136" s="53" t="s">
        <v>335</v>
      </c>
      <c r="BP136" s="53" t="s">
        <v>1483</v>
      </c>
      <c r="BQ136" s="54">
        <v>45071</v>
      </c>
      <c r="BR136" s="53" t="s">
        <v>95</v>
      </c>
      <c r="BS136" s="53" t="s">
        <v>205</v>
      </c>
      <c r="BT136" s="53" t="s">
        <v>1482</v>
      </c>
      <c r="BU136" s="4"/>
      <c r="BZ136" s="57">
        <f t="shared" si="11"/>
        <v>42352</v>
      </c>
      <c r="CA136" s="2">
        <f t="shared" si="12"/>
        <v>51</v>
      </c>
    </row>
    <row r="137" spans="47:79" x14ac:dyDescent="0.3">
      <c r="AU137" s="65"/>
      <c r="AV137" s="66"/>
      <c r="BA137" s="4"/>
      <c r="BC137" s="4"/>
      <c r="BD137" s="65">
        <v>46174</v>
      </c>
      <c r="BE137" s="66">
        <v>47</v>
      </c>
      <c r="BF137" s="66">
        <v>12</v>
      </c>
      <c r="BG137" s="2">
        <v>8</v>
      </c>
      <c r="BH137" s="62" t="s">
        <v>1476</v>
      </c>
      <c r="BI137" s="62" t="s">
        <v>1477</v>
      </c>
      <c r="BJ137" s="63">
        <v>449</v>
      </c>
      <c r="BK137" s="62" t="s">
        <v>93</v>
      </c>
      <c r="BL137" s="64" t="s">
        <v>320</v>
      </c>
      <c r="BO137" s="53" t="s">
        <v>266</v>
      </c>
      <c r="BP137" s="53" t="s">
        <v>340</v>
      </c>
      <c r="BQ137" s="54">
        <v>43228</v>
      </c>
      <c r="BR137" s="53" t="s">
        <v>95</v>
      </c>
      <c r="BS137" s="53" t="s">
        <v>341</v>
      </c>
      <c r="BT137" s="53" t="s">
        <v>342</v>
      </c>
      <c r="BU137" s="4"/>
      <c r="BZ137" s="57">
        <f t="shared" si="11"/>
        <v>42359</v>
      </c>
      <c r="CA137" s="2">
        <f t="shared" si="12"/>
        <v>52</v>
      </c>
    </row>
    <row r="138" spans="47:79" x14ac:dyDescent="0.3">
      <c r="AU138" s="65"/>
      <c r="AV138" s="66"/>
      <c r="BA138" s="4"/>
      <c r="BC138" s="4"/>
      <c r="BD138" s="65">
        <v>46181</v>
      </c>
      <c r="BE138" s="66">
        <v>48</v>
      </c>
      <c r="BF138" s="66">
        <v>12</v>
      </c>
      <c r="BG138" s="2">
        <v>9</v>
      </c>
      <c r="BH138" s="62" t="s">
        <v>1478</v>
      </c>
      <c r="BI138" s="62" t="s">
        <v>1479</v>
      </c>
      <c r="BJ138" s="63">
        <v>838</v>
      </c>
      <c r="BK138" s="62" t="s">
        <v>93</v>
      </c>
      <c r="BL138" s="64" t="s">
        <v>220</v>
      </c>
      <c r="BO138" s="53" t="s">
        <v>114</v>
      </c>
      <c r="BP138" s="53" t="s">
        <v>343</v>
      </c>
      <c r="BQ138" s="54">
        <v>43291</v>
      </c>
      <c r="BR138" s="53" t="s">
        <v>95</v>
      </c>
      <c r="BS138" s="53" t="s">
        <v>344</v>
      </c>
      <c r="BT138" s="53" t="s">
        <v>345</v>
      </c>
      <c r="BU138" s="4"/>
    </row>
    <row r="139" spans="47:79" x14ac:dyDescent="0.3">
      <c r="AU139" s="65"/>
      <c r="AV139" s="66"/>
      <c r="BA139" s="4"/>
      <c r="BC139" s="4"/>
      <c r="BD139" s="65">
        <v>46188</v>
      </c>
      <c r="BE139" s="66">
        <v>49</v>
      </c>
      <c r="BF139" s="66">
        <v>1</v>
      </c>
      <c r="BG139" s="2">
        <v>10</v>
      </c>
      <c r="BH139" s="62" t="s">
        <v>1730</v>
      </c>
      <c r="BI139" s="62" t="s">
        <v>1731</v>
      </c>
      <c r="BJ139" s="63">
        <v>456</v>
      </c>
      <c r="BK139" s="62" t="s">
        <v>93</v>
      </c>
      <c r="BL139" s="64" t="s">
        <v>291</v>
      </c>
      <c r="BO139" s="53" t="s">
        <v>266</v>
      </c>
      <c r="BP139" s="53" t="s">
        <v>1006</v>
      </c>
      <c r="BQ139" s="54">
        <v>44678</v>
      </c>
      <c r="BR139" s="53" t="s">
        <v>95</v>
      </c>
      <c r="BS139" s="53" t="s">
        <v>334</v>
      </c>
      <c r="BT139" s="53" t="s">
        <v>1005</v>
      </c>
      <c r="BU139" s="4"/>
    </row>
    <row r="140" spans="47:79" x14ac:dyDescent="0.3">
      <c r="AU140" s="65"/>
      <c r="AV140" s="66"/>
      <c r="BA140" s="4"/>
      <c r="BC140" s="4"/>
      <c r="BD140" s="65">
        <v>46195</v>
      </c>
      <c r="BE140" s="66">
        <v>50</v>
      </c>
      <c r="BF140" s="66">
        <v>1</v>
      </c>
      <c r="BG140" s="2">
        <v>11</v>
      </c>
      <c r="BH140" s="62" t="s">
        <v>1732</v>
      </c>
      <c r="BI140" s="62" t="s">
        <v>1733</v>
      </c>
      <c r="BJ140" s="63">
        <v>457</v>
      </c>
      <c r="BK140" s="62" t="s">
        <v>93</v>
      </c>
      <c r="BL140" s="64" t="s">
        <v>94</v>
      </c>
      <c r="BO140" s="53" t="s">
        <v>84</v>
      </c>
      <c r="BP140" s="53" t="s">
        <v>350</v>
      </c>
      <c r="BQ140" s="54">
        <v>43467</v>
      </c>
      <c r="BR140" s="53" t="s">
        <v>95</v>
      </c>
      <c r="BS140" s="53" t="s">
        <v>351</v>
      </c>
      <c r="BT140" s="53" t="s">
        <v>352</v>
      </c>
      <c r="BU140" s="4"/>
    </row>
    <row r="141" spans="47:79" x14ac:dyDescent="0.3">
      <c r="AU141" s="65"/>
      <c r="AV141" s="66"/>
      <c r="BA141" s="4"/>
      <c r="BC141" s="4"/>
      <c r="BD141" s="65">
        <v>46202</v>
      </c>
      <c r="BE141" s="66">
        <v>51</v>
      </c>
      <c r="BF141" s="66">
        <v>1</v>
      </c>
      <c r="BG141" s="2">
        <v>12</v>
      </c>
      <c r="BH141" s="62" t="s">
        <v>1833</v>
      </c>
      <c r="BI141" s="62" t="s">
        <v>1834</v>
      </c>
      <c r="BJ141" s="63">
        <v>459</v>
      </c>
      <c r="BK141" s="62" t="s">
        <v>93</v>
      </c>
      <c r="BL141" s="64" t="s">
        <v>94</v>
      </c>
      <c r="BO141" s="53" t="s">
        <v>84</v>
      </c>
      <c r="BP141" s="53" t="s">
        <v>962</v>
      </c>
      <c r="BQ141" s="54">
        <v>44652</v>
      </c>
      <c r="BR141" s="53" t="s">
        <v>95</v>
      </c>
      <c r="BS141" s="53" t="s">
        <v>351</v>
      </c>
      <c r="BT141" s="53" t="s">
        <v>961</v>
      </c>
      <c r="BU141" s="4"/>
    </row>
    <row r="142" spans="47:79" x14ac:dyDescent="0.3">
      <c r="AU142" s="65"/>
      <c r="AV142" s="66"/>
      <c r="BA142" s="4"/>
      <c r="BC142" s="4"/>
      <c r="BD142" s="65">
        <v>46209</v>
      </c>
      <c r="BE142" s="66">
        <v>52</v>
      </c>
      <c r="BF142" s="66">
        <v>1</v>
      </c>
      <c r="BG142" s="2">
        <v>13</v>
      </c>
      <c r="BH142" s="62" t="s">
        <v>1987</v>
      </c>
      <c r="BI142" s="62" t="s">
        <v>1988</v>
      </c>
      <c r="BJ142" s="63">
        <v>460</v>
      </c>
      <c r="BK142" s="62" t="s">
        <v>93</v>
      </c>
      <c r="BL142" s="64" t="s">
        <v>320</v>
      </c>
      <c r="BO142" s="53" t="s">
        <v>84</v>
      </c>
      <c r="BP142" s="53" t="s">
        <v>354</v>
      </c>
      <c r="BQ142" s="54">
        <v>43423</v>
      </c>
      <c r="BR142" s="53" t="s">
        <v>95</v>
      </c>
      <c r="BS142" s="53" t="s">
        <v>351</v>
      </c>
      <c r="BT142" s="53" t="s">
        <v>355</v>
      </c>
      <c r="BU142" s="4"/>
    </row>
    <row r="143" spans="47:79" x14ac:dyDescent="0.3">
      <c r="AU143" s="65"/>
      <c r="AV143" s="66"/>
      <c r="BA143" s="4"/>
      <c r="BC143" s="4"/>
      <c r="BD143" s="65">
        <v>46216</v>
      </c>
      <c r="BE143" s="66">
        <v>1</v>
      </c>
      <c r="BF143" s="66">
        <v>2</v>
      </c>
      <c r="BG143" s="2">
        <v>14</v>
      </c>
      <c r="BH143" s="62" t="s">
        <v>2045</v>
      </c>
      <c r="BI143" s="62" t="s">
        <v>2046</v>
      </c>
      <c r="BJ143" s="63">
        <v>461</v>
      </c>
      <c r="BK143" s="62" t="s">
        <v>93</v>
      </c>
      <c r="BL143" s="64" t="s">
        <v>94</v>
      </c>
      <c r="BO143" s="53" t="s">
        <v>94</v>
      </c>
      <c r="BP143" s="53" t="s">
        <v>356</v>
      </c>
      <c r="BQ143" s="54">
        <v>43473</v>
      </c>
      <c r="BR143" s="53" t="s">
        <v>95</v>
      </c>
      <c r="BS143" s="53" t="s">
        <v>115</v>
      </c>
      <c r="BT143" s="53" t="s">
        <v>357</v>
      </c>
      <c r="BU143" s="4"/>
    </row>
    <row r="144" spans="47:79" x14ac:dyDescent="0.3">
      <c r="AU144" s="65"/>
      <c r="AV144" s="66"/>
      <c r="BA144" s="4"/>
      <c r="BC144" s="4"/>
      <c r="BD144" s="65">
        <v>46223</v>
      </c>
      <c r="BE144" s="66">
        <v>2</v>
      </c>
      <c r="BF144" s="66">
        <v>2</v>
      </c>
      <c r="BG144" s="2">
        <v>15</v>
      </c>
      <c r="BH144" s="62" t="s">
        <v>2127</v>
      </c>
      <c r="BI144" s="62" t="s">
        <v>2128</v>
      </c>
      <c r="BJ144" s="63">
        <v>835</v>
      </c>
      <c r="BK144" s="62" t="s">
        <v>93</v>
      </c>
      <c r="BL144" s="64" t="s">
        <v>119</v>
      </c>
      <c r="BO144" s="53" t="s">
        <v>94</v>
      </c>
      <c r="BP144" s="53" t="s">
        <v>358</v>
      </c>
      <c r="BQ144" s="54">
        <v>43852</v>
      </c>
      <c r="BR144" s="53" t="s">
        <v>95</v>
      </c>
      <c r="BS144" s="53" t="s">
        <v>115</v>
      </c>
      <c r="BT144" s="53" t="s">
        <v>359</v>
      </c>
      <c r="BU144" s="4"/>
    </row>
    <row r="145" spans="47:73" x14ac:dyDescent="0.3">
      <c r="AU145" s="65"/>
      <c r="AV145" s="66"/>
      <c r="BA145" s="4"/>
      <c r="BC145" s="4"/>
      <c r="BD145" s="65">
        <v>46230</v>
      </c>
      <c r="BE145" s="66">
        <v>3</v>
      </c>
      <c r="BF145" s="66">
        <v>2</v>
      </c>
      <c r="BG145" s="2">
        <v>16</v>
      </c>
      <c r="BH145" s="62" t="s">
        <v>2140</v>
      </c>
      <c r="BI145" s="132" t="s">
        <v>2141</v>
      </c>
      <c r="BJ145" s="63">
        <v>834</v>
      </c>
      <c r="BK145" s="62" t="s">
        <v>93</v>
      </c>
      <c r="BL145" s="64" t="s">
        <v>131</v>
      </c>
      <c r="BO145" s="53" t="s">
        <v>84</v>
      </c>
      <c r="BP145" s="53" t="s">
        <v>1836</v>
      </c>
      <c r="BQ145" s="54">
        <v>43444</v>
      </c>
      <c r="BR145" s="53" t="s">
        <v>95</v>
      </c>
      <c r="BS145" s="53" t="s">
        <v>1113</v>
      </c>
      <c r="BT145" s="53" t="s">
        <v>1835</v>
      </c>
      <c r="BU145" s="4"/>
    </row>
    <row r="146" spans="47:73" x14ac:dyDescent="0.3">
      <c r="AU146" s="65"/>
      <c r="AV146" s="66"/>
      <c r="BA146" s="4"/>
      <c r="BC146" s="4"/>
      <c r="BD146" s="65">
        <v>46237</v>
      </c>
      <c r="BE146" s="66">
        <v>4</v>
      </c>
      <c r="BF146" s="66">
        <v>2</v>
      </c>
      <c r="BG146" s="2">
        <v>17</v>
      </c>
      <c r="BH146" s="62" t="s">
        <v>836</v>
      </c>
      <c r="BI146" s="62" t="s">
        <v>837</v>
      </c>
      <c r="BJ146" s="63">
        <v>395</v>
      </c>
      <c r="BK146" s="62" t="s">
        <v>93</v>
      </c>
      <c r="BL146" s="64" t="s">
        <v>291</v>
      </c>
      <c r="BO146" s="53" t="s">
        <v>84</v>
      </c>
      <c r="BP146" s="53" t="s">
        <v>866</v>
      </c>
      <c r="BQ146" s="54">
        <v>44530</v>
      </c>
      <c r="BR146" s="53" t="s">
        <v>95</v>
      </c>
      <c r="BS146" s="53" t="s">
        <v>360</v>
      </c>
      <c r="BT146" s="53" t="s">
        <v>865</v>
      </c>
      <c r="BU146" s="4"/>
    </row>
    <row r="147" spans="47:73" x14ac:dyDescent="0.3">
      <c r="AU147" s="65"/>
      <c r="AV147" s="66"/>
      <c r="BA147" s="4"/>
      <c r="BC147" s="4"/>
      <c r="BD147" s="65">
        <v>46244</v>
      </c>
      <c r="BE147" s="66">
        <v>5</v>
      </c>
      <c r="BF147" s="66">
        <v>2</v>
      </c>
      <c r="BG147" s="2">
        <v>18</v>
      </c>
      <c r="BH147" s="62" t="s">
        <v>838</v>
      </c>
      <c r="BI147" s="62" t="s">
        <v>839</v>
      </c>
      <c r="BJ147" s="63">
        <v>394</v>
      </c>
      <c r="BK147" s="62" t="s">
        <v>93</v>
      </c>
      <c r="BL147" s="64" t="s">
        <v>840</v>
      </c>
      <c r="BO147" s="53" t="s">
        <v>84</v>
      </c>
      <c r="BP147" s="53" t="s">
        <v>361</v>
      </c>
      <c r="BQ147" s="54">
        <v>43480</v>
      </c>
      <c r="BR147" s="53" t="s">
        <v>95</v>
      </c>
      <c r="BS147" s="53" t="s">
        <v>267</v>
      </c>
      <c r="BT147" s="53" t="s">
        <v>362</v>
      </c>
      <c r="BU147" s="4"/>
    </row>
    <row r="148" spans="47:73" x14ac:dyDescent="0.3">
      <c r="AU148" s="65"/>
      <c r="AV148" s="66"/>
      <c r="BA148" s="4"/>
      <c r="BC148" s="4"/>
      <c r="BD148" s="65">
        <v>46251</v>
      </c>
      <c r="BE148" s="66">
        <v>6</v>
      </c>
      <c r="BF148" s="66">
        <v>3</v>
      </c>
      <c r="BG148" s="2">
        <v>19</v>
      </c>
      <c r="BH148" s="62" t="s">
        <v>841</v>
      </c>
      <c r="BI148" s="62" t="s">
        <v>842</v>
      </c>
      <c r="BJ148" s="63">
        <v>396</v>
      </c>
      <c r="BK148" s="62" t="s">
        <v>93</v>
      </c>
      <c r="BL148" s="64" t="s">
        <v>131</v>
      </c>
      <c r="BO148" s="53" t="s">
        <v>84</v>
      </c>
      <c r="BP148" s="53" t="s">
        <v>364</v>
      </c>
      <c r="BQ148" s="54">
        <v>43614</v>
      </c>
      <c r="BR148" s="53" t="s">
        <v>95</v>
      </c>
      <c r="BS148" s="53" t="s">
        <v>1113</v>
      </c>
      <c r="BT148" s="53" t="s">
        <v>365</v>
      </c>
      <c r="BU148" s="4"/>
    </row>
    <row r="149" spans="47:73" x14ac:dyDescent="0.3">
      <c r="AU149" s="65"/>
      <c r="AV149" s="66"/>
      <c r="BA149" s="4"/>
      <c r="BC149" s="4"/>
      <c r="BD149" s="65">
        <v>46258</v>
      </c>
      <c r="BE149" s="66">
        <v>7</v>
      </c>
      <c r="BF149" s="66">
        <v>3</v>
      </c>
      <c r="BG149" s="2">
        <v>20</v>
      </c>
      <c r="BH149" s="62" t="s">
        <v>843</v>
      </c>
      <c r="BI149" s="62" t="s">
        <v>844</v>
      </c>
      <c r="BJ149" s="63">
        <v>397</v>
      </c>
      <c r="BK149" s="62" t="s">
        <v>93</v>
      </c>
      <c r="BL149" s="64" t="s">
        <v>291</v>
      </c>
      <c r="BO149" s="53" t="s">
        <v>84</v>
      </c>
      <c r="BP149" s="53" t="s">
        <v>367</v>
      </c>
      <c r="BQ149" s="54">
        <v>43656</v>
      </c>
      <c r="BR149" s="53" t="s">
        <v>95</v>
      </c>
      <c r="BS149" s="53" t="s">
        <v>293</v>
      </c>
      <c r="BT149" s="53" t="s">
        <v>368</v>
      </c>
      <c r="BU149" s="4"/>
    </row>
    <row r="150" spans="47:73" x14ac:dyDescent="0.3">
      <c r="AU150" s="65"/>
      <c r="BA150" s="4"/>
      <c r="BC150" s="4"/>
      <c r="BD150" s="65">
        <v>46265</v>
      </c>
      <c r="BE150" s="66">
        <v>8</v>
      </c>
      <c r="BF150" s="66">
        <v>3</v>
      </c>
      <c r="BG150" s="2">
        <v>21</v>
      </c>
      <c r="BH150" s="62" t="s">
        <v>845</v>
      </c>
      <c r="BI150" s="62" t="s">
        <v>846</v>
      </c>
      <c r="BJ150" s="63">
        <v>398</v>
      </c>
      <c r="BK150" s="62" t="s">
        <v>93</v>
      </c>
      <c r="BL150" s="64" t="s">
        <v>266</v>
      </c>
      <c r="BO150" s="53" t="s">
        <v>114</v>
      </c>
      <c r="BP150" s="53" t="s">
        <v>1742</v>
      </c>
      <c r="BQ150" s="54">
        <v>45181</v>
      </c>
      <c r="BR150" s="53" t="s">
        <v>95</v>
      </c>
      <c r="BS150" s="53" t="s">
        <v>247</v>
      </c>
      <c r="BT150" s="53" t="s">
        <v>1741</v>
      </c>
      <c r="BU150" s="4"/>
    </row>
    <row r="151" spans="47:73" x14ac:dyDescent="0.3">
      <c r="BA151" s="4"/>
      <c r="BC151" s="4"/>
      <c r="BD151" s="65"/>
      <c r="BH151" s="62" t="s">
        <v>847</v>
      </c>
      <c r="BI151" s="62" t="s">
        <v>848</v>
      </c>
      <c r="BJ151" s="63">
        <v>399</v>
      </c>
      <c r="BK151" s="62" t="s">
        <v>93</v>
      </c>
      <c r="BL151" s="64" t="s">
        <v>131</v>
      </c>
      <c r="BO151" s="53" t="s">
        <v>114</v>
      </c>
      <c r="BP151" s="53" t="s">
        <v>1841</v>
      </c>
      <c r="BQ151" s="54">
        <v>45217</v>
      </c>
      <c r="BR151" s="53" t="s">
        <v>95</v>
      </c>
      <c r="BS151" s="53" t="s">
        <v>247</v>
      </c>
      <c r="BT151" s="53" t="s">
        <v>1840</v>
      </c>
      <c r="BU151" s="4"/>
    </row>
    <row r="152" spans="47:73" x14ac:dyDescent="0.3">
      <c r="BA152" s="4"/>
      <c r="BC152" s="4"/>
      <c r="BD152" s="65"/>
      <c r="BH152" s="62" t="s">
        <v>849</v>
      </c>
      <c r="BI152" s="62" t="s">
        <v>850</v>
      </c>
      <c r="BJ152" s="63">
        <v>400</v>
      </c>
      <c r="BK152" s="62" t="s">
        <v>93</v>
      </c>
      <c r="BL152" s="64" t="s">
        <v>83</v>
      </c>
      <c r="BO152" s="53" t="s">
        <v>135</v>
      </c>
      <c r="BP152" s="53" t="s">
        <v>1461</v>
      </c>
      <c r="BQ152" s="54">
        <v>43830</v>
      </c>
      <c r="BR152" s="53" t="s">
        <v>95</v>
      </c>
      <c r="BS152" s="53" t="s">
        <v>369</v>
      </c>
      <c r="BT152" s="53" t="s">
        <v>370</v>
      </c>
      <c r="BU152" s="4"/>
    </row>
    <row r="153" spans="47:73" x14ac:dyDescent="0.3">
      <c r="BA153" s="4"/>
      <c r="BC153" s="4"/>
      <c r="BD153" s="65"/>
      <c r="BH153" s="62" t="s">
        <v>851</v>
      </c>
      <c r="BI153" s="62" t="s">
        <v>852</v>
      </c>
      <c r="BJ153" s="63">
        <v>401</v>
      </c>
      <c r="BK153" s="62" t="s">
        <v>93</v>
      </c>
      <c r="BL153" s="64" t="s">
        <v>853</v>
      </c>
      <c r="BO153" s="53" t="s">
        <v>266</v>
      </c>
      <c r="BP153" s="53" t="s">
        <v>371</v>
      </c>
      <c r="BQ153" s="54">
        <v>43795</v>
      </c>
      <c r="BR153" s="53" t="s">
        <v>95</v>
      </c>
      <c r="BS153" s="53" t="s">
        <v>341</v>
      </c>
      <c r="BT153" s="53" t="s">
        <v>372</v>
      </c>
      <c r="BU153" s="4"/>
    </row>
    <row r="154" spans="47:73" x14ac:dyDescent="0.3">
      <c r="BA154" s="4"/>
      <c r="BC154" s="4"/>
      <c r="BD154" s="65"/>
      <c r="BH154" s="62" t="s">
        <v>1062</v>
      </c>
      <c r="BI154" s="62" t="s">
        <v>1063</v>
      </c>
      <c r="BJ154" s="63">
        <v>426</v>
      </c>
      <c r="BK154" s="62" t="s">
        <v>93</v>
      </c>
      <c r="BL154" s="64" t="s">
        <v>131</v>
      </c>
      <c r="BO154" s="53" t="s">
        <v>335</v>
      </c>
      <c r="BP154" s="53" t="s">
        <v>374</v>
      </c>
      <c r="BQ154" s="54">
        <v>44335</v>
      </c>
      <c r="BR154" s="53" t="s">
        <v>95</v>
      </c>
      <c r="BS154" s="53" t="s">
        <v>373</v>
      </c>
      <c r="BT154" s="53" t="s">
        <v>375</v>
      </c>
      <c r="BU154" s="4"/>
    </row>
    <row r="155" spans="47:73" x14ac:dyDescent="0.3">
      <c r="BA155" s="4"/>
      <c r="BC155" s="4"/>
      <c r="BD155" s="65"/>
      <c r="BH155" s="62" t="s">
        <v>2142</v>
      </c>
      <c r="BI155" s="62" t="s">
        <v>2143</v>
      </c>
      <c r="BJ155" s="63">
        <v>833</v>
      </c>
      <c r="BK155" s="62" t="s">
        <v>93</v>
      </c>
      <c r="BL155" s="64" t="s">
        <v>1020</v>
      </c>
      <c r="BO155" s="53" t="s">
        <v>114</v>
      </c>
      <c r="BP155" s="53" t="s">
        <v>1812</v>
      </c>
      <c r="BQ155" s="54">
        <v>45198</v>
      </c>
      <c r="BR155" s="53" t="s">
        <v>95</v>
      </c>
      <c r="BS155" s="53" t="s">
        <v>344</v>
      </c>
      <c r="BT155" s="53" t="s">
        <v>1811</v>
      </c>
      <c r="BU155" s="4"/>
    </row>
    <row r="156" spans="47:73" x14ac:dyDescent="0.3">
      <c r="BA156" s="4"/>
      <c r="BC156" s="4"/>
      <c r="BD156" s="65"/>
      <c r="BH156" s="62" t="s">
        <v>1064</v>
      </c>
      <c r="BI156" s="62" t="s">
        <v>1065</v>
      </c>
      <c r="BJ156" s="63">
        <v>417</v>
      </c>
      <c r="BK156" s="62" t="s">
        <v>93</v>
      </c>
      <c r="BL156" s="64" t="s">
        <v>94</v>
      </c>
      <c r="BO156" s="53" t="s">
        <v>94</v>
      </c>
      <c r="BP156" s="53" t="s">
        <v>1236</v>
      </c>
      <c r="BQ156" s="54">
        <v>44833</v>
      </c>
      <c r="BR156" s="53" t="s">
        <v>95</v>
      </c>
      <c r="BS156" s="53" t="s">
        <v>344</v>
      </c>
      <c r="BT156" s="53" t="s">
        <v>1235</v>
      </c>
      <c r="BU156" s="4"/>
    </row>
    <row r="157" spans="47:73" x14ac:dyDescent="0.3">
      <c r="BA157" s="4"/>
      <c r="BC157" s="4"/>
      <c r="BD157" s="65"/>
      <c r="BH157" s="62" t="s">
        <v>1066</v>
      </c>
      <c r="BI157" s="62" t="s">
        <v>1067</v>
      </c>
      <c r="BJ157" s="63">
        <v>445</v>
      </c>
      <c r="BK157" s="62" t="s">
        <v>93</v>
      </c>
      <c r="BL157" s="64" t="s">
        <v>291</v>
      </c>
      <c r="BO157" s="53" t="s">
        <v>114</v>
      </c>
      <c r="BP157" s="53" t="s">
        <v>2130</v>
      </c>
      <c r="BQ157" s="54">
        <v>45299</v>
      </c>
      <c r="BR157" s="53" t="s">
        <v>95</v>
      </c>
      <c r="BS157" s="53" t="s">
        <v>344</v>
      </c>
      <c r="BT157" s="53" t="s">
        <v>2129</v>
      </c>
      <c r="BU157" s="4"/>
    </row>
    <row r="158" spans="47:73" x14ac:dyDescent="0.3">
      <c r="BA158" s="4"/>
      <c r="BC158" s="4"/>
      <c r="BD158" s="65"/>
      <c r="BH158" s="62" t="s">
        <v>1068</v>
      </c>
      <c r="BI158" s="62" t="s">
        <v>1069</v>
      </c>
      <c r="BJ158" s="63">
        <v>843</v>
      </c>
      <c r="BK158" s="62" t="s">
        <v>93</v>
      </c>
      <c r="BL158" s="64" t="s">
        <v>1020</v>
      </c>
      <c r="BO158" s="53" t="s">
        <v>114</v>
      </c>
      <c r="BP158" s="53" t="s">
        <v>2132</v>
      </c>
      <c r="BQ158" s="54">
        <v>45299</v>
      </c>
      <c r="BR158" s="53" t="s">
        <v>95</v>
      </c>
      <c r="BS158" s="53" t="s">
        <v>344</v>
      </c>
      <c r="BT158" s="53" t="s">
        <v>2131</v>
      </c>
      <c r="BU158" s="4"/>
    </row>
    <row r="159" spans="47:73" x14ac:dyDescent="0.3">
      <c r="BA159" s="4"/>
      <c r="BC159" s="4"/>
      <c r="BD159" s="65"/>
      <c r="BH159" s="62" t="s">
        <v>1070</v>
      </c>
      <c r="BI159" s="62" t="s">
        <v>1071</v>
      </c>
      <c r="BJ159" s="63">
        <v>842</v>
      </c>
      <c r="BK159" s="62" t="s">
        <v>93</v>
      </c>
      <c r="BL159" s="64" t="s">
        <v>1020</v>
      </c>
      <c r="BO159" s="53" t="s">
        <v>94</v>
      </c>
      <c r="BP159" s="53" t="s">
        <v>2151</v>
      </c>
      <c r="BQ159" s="54">
        <v>45308</v>
      </c>
      <c r="BR159" s="53" t="s">
        <v>95</v>
      </c>
      <c r="BS159" s="53" t="s">
        <v>205</v>
      </c>
      <c r="BT159" s="53" t="s">
        <v>2150</v>
      </c>
      <c r="BU159" s="4"/>
    </row>
    <row r="160" spans="47:73" x14ac:dyDescent="0.3">
      <c r="BA160" s="4"/>
      <c r="BC160" s="4"/>
      <c r="BD160" s="65"/>
      <c r="BH160" s="62" t="s">
        <v>1072</v>
      </c>
      <c r="BI160" s="62" t="s">
        <v>1073</v>
      </c>
      <c r="BJ160" s="77">
        <v>424</v>
      </c>
      <c r="BK160" s="62" t="s">
        <v>93</v>
      </c>
      <c r="BL160" s="64" t="s">
        <v>119</v>
      </c>
      <c r="BO160" s="53" t="s">
        <v>266</v>
      </c>
      <c r="BP160" s="53" t="s">
        <v>376</v>
      </c>
      <c r="BQ160" s="54">
        <v>43853</v>
      </c>
      <c r="BR160" s="53" t="s">
        <v>95</v>
      </c>
      <c r="BS160" s="53" t="s">
        <v>377</v>
      </c>
      <c r="BT160" s="53" t="s">
        <v>378</v>
      </c>
      <c r="BU160" s="4"/>
    </row>
    <row r="161" spans="53:73" x14ac:dyDescent="0.3">
      <c r="BA161" s="4"/>
      <c r="BC161" s="4"/>
      <c r="BD161" s="65"/>
      <c r="BH161" s="62" t="s">
        <v>1570</v>
      </c>
      <c r="BI161" s="62" t="s">
        <v>1571</v>
      </c>
      <c r="BJ161" s="63">
        <v>452</v>
      </c>
      <c r="BK161" s="62" t="s">
        <v>93</v>
      </c>
      <c r="BL161" s="64" t="s">
        <v>119</v>
      </c>
      <c r="BO161" s="53" t="s">
        <v>266</v>
      </c>
      <c r="BP161" s="53" t="s">
        <v>379</v>
      </c>
      <c r="BQ161" s="54">
        <v>44357</v>
      </c>
      <c r="BR161" s="53" t="s">
        <v>95</v>
      </c>
      <c r="BS161" s="53" t="s">
        <v>377</v>
      </c>
      <c r="BT161" s="53" t="s">
        <v>380</v>
      </c>
      <c r="BU161" s="4"/>
    </row>
    <row r="162" spans="53:73" x14ac:dyDescent="0.3">
      <c r="BA162" s="4"/>
      <c r="BC162" s="4"/>
      <c r="BD162" s="65"/>
      <c r="BH162" s="62" t="s">
        <v>1572</v>
      </c>
      <c r="BI162" s="62" t="s">
        <v>1573</v>
      </c>
      <c r="BJ162" s="63">
        <v>453</v>
      </c>
      <c r="BK162" s="62" t="s">
        <v>93</v>
      </c>
      <c r="BL162" s="64" t="s">
        <v>1574</v>
      </c>
      <c r="BO162" s="53" t="s">
        <v>84</v>
      </c>
      <c r="BP162" s="53" t="s">
        <v>1289</v>
      </c>
      <c r="BQ162" s="54">
        <v>44973</v>
      </c>
      <c r="BR162" s="53" t="s">
        <v>95</v>
      </c>
      <c r="BS162" s="53" t="s">
        <v>381</v>
      </c>
      <c r="BT162" s="53" t="s">
        <v>1288</v>
      </c>
      <c r="BU162" s="4"/>
    </row>
    <row r="163" spans="53:73" x14ac:dyDescent="0.3">
      <c r="BA163" s="4"/>
      <c r="BC163" s="4"/>
      <c r="BD163" s="65"/>
      <c r="BH163" s="62" t="s">
        <v>1575</v>
      </c>
      <c r="BI163" s="62" t="s">
        <v>1576</v>
      </c>
      <c r="BJ163" s="63">
        <v>454</v>
      </c>
      <c r="BK163" s="62" t="s">
        <v>93</v>
      </c>
      <c r="BL163" s="64" t="s">
        <v>94</v>
      </c>
      <c r="BO163" s="53" t="s">
        <v>84</v>
      </c>
      <c r="BP163" s="53" t="s">
        <v>382</v>
      </c>
      <c r="BQ163" s="54">
        <v>43874</v>
      </c>
      <c r="BR163" s="53" t="s">
        <v>95</v>
      </c>
      <c r="BS163" s="53" t="s">
        <v>381</v>
      </c>
      <c r="BT163" s="53" t="s">
        <v>383</v>
      </c>
      <c r="BU163" s="4"/>
    </row>
    <row r="164" spans="53:73" x14ac:dyDescent="0.3">
      <c r="BA164" s="4"/>
      <c r="BC164" s="4"/>
      <c r="BD164" s="65"/>
      <c r="BH164" s="62" t="s">
        <v>1577</v>
      </c>
      <c r="BI164" s="62" t="s">
        <v>1578</v>
      </c>
      <c r="BJ164" s="63">
        <v>455</v>
      </c>
      <c r="BK164" s="62" t="s">
        <v>93</v>
      </c>
      <c r="BL164" s="64" t="s">
        <v>220</v>
      </c>
      <c r="BO164" s="53" t="s">
        <v>114</v>
      </c>
      <c r="BP164" s="53" t="s">
        <v>966</v>
      </c>
      <c r="BQ164" s="54">
        <v>44655</v>
      </c>
      <c r="BR164" s="53" t="s">
        <v>95</v>
      </c>
      <c r="BS164" s="53" t="s">
        <v>344</v>
      </c>
      <c r="BT164" s="53" t="s">
        <v>965</v>
      </c>
      <c r="BU164" s="4"/>
    </row>
    <row r="165" spans="53:73" x14ac:dyDescent="0.3">
      <c r="BA165" s="4"/>
      <c r="BC165" s="4"/>
      <c r="BD165" s="65"/>
      <c r="BH165" s="62" t="s">
        <v>1074</v>
      </c>
      <c r="BI165" s="62" t="s">
        <v>1075</v>
      </c>
      <c r="BJ165" s="63">
        <v>419</v>
      </c>
      <c r="BK165" s="62" t="s">
        <v>93</v>
      </c>
      <c r="BL165" s="64" t="s">
        <v>220</v>
      </c>
      <c r="BO165" s="53" t="s">
        <v>114</v>
      </c>
      <c r="BP165" s="53" t="s">
        <v>2147</v>
      </c>
      <c r="BQ165" s="54">
        <v>45245</v>
      </c>
      <c r="BR165" s="53" t="s">
        <v>95</v>
      </c>
      <c r="BS165" s="53" t="s">
        <v>344</v>
      </c>
      <c r="BT165" s="53" t="s">
        <v>1977</v>
      </c>
      <c r="BU165" s="4"/>
    </row>
    <row r="166" spans="53:73" x14ac:dyDescent="0.3">
      <c r="BA166" s="4"/>
      <c r="BC166" s="4"/>
      <c r="BD166" s="65"/>
      <c r="BH166" s="62" t="s">
        <v>1076</v>
      </c>
      <c r="BI166" s="62" t="s">
        <v>1077</v>
      </c>
      <c r="BJ166" s="63">
        <v>840</v>
      </c>
      <c r="BK166" s="62" t="s">
        <v>93</v>
      </c>
      <c r="BL166" s="64" t="s">
        <v>853</v>
      </c>
      <c r="BO166" s="53" t="s">
        <v>84</v>
      </c>
      <c r="BP166" s="53" t="s">
        <v>384</v>
      </c>
      <c r="BQ166" s="54">
        <v>43949</v>
      </c>
      <c r="BR166" s="53" t="s">
        <v>95</v>
      </c>
      <c r="BS166" s="53" t="s">
        <v>366</v>
      </c>
      <c r="BT166" s="53" t="s">
        <v>385</v>
      </c>
      <c r="BU166" s="4"/>
    </row>
    <row r="167" spans="53:73" x14ac:dyDescent="0.3">
      <c r="BA167" s="4"/>
      <c r="BC167" s="4"/>
      <c r="BD167" s="65"/>
      <c r="BH167" s="62" t="s">
        <v>1078</v>
      </c>
      <c r="BI167" s="62" t="s">
        <v>1079</v>
      </c>
      <c r="BJ167" s="63">
        <v>839</v>
      </c>
      <c r="BK167" s="62" t="s">
        <v>93</v>
      </c>
      <c r="BL167" s="64" t="s">
        <v>291</v>
      </c>
      <c r="BO167" s="53" t="s">
        <v>84</v>
      </c>
      <c r="BP167" s="53" t="s">
        <v>2114</v>
      </c>
      <c r="BQ167" s="54">
        <v>45278</v>
      </c>
      <c r="BR167" s="53" t="s">
        <v>95</v>
      </c>
      <c r="BS167" s="53" t="s">
        <v>366</v>
      </c>
      <c r="BT167" s="53" t="s">
        <v>2113</v>
      </c>
      <c r="BU167" s="4"/>
    </row>
    <row r="168" spans="53:73" x14ac:dyDescent="0.3">
      <c r="BA168" s="4"/>
      <c r="BC168" s="4"/>
      <c r="BD168" s="65"/>
      <c r="BH168" s="62" t="s">
        <v>1080</v>
      </c>
      <c r="BI168" s="62" t="s">
        <v>1081</v>
      </c>
      <c r="BJ168" s="63">
        <v>420</v>
      </c>
      <c r="BK168" s="62" t="s">
        <v>93</v>
      </c>
      <c r="BL168" s="64" t="s">
        <v>194</v>
      </c>
      <c r="BO168" s="53" t="s">
        <v>84</v>
      </c>
      <c r="BP168" s="53" t="s">
        <v>386</v>
      </c>
      <c r="BQ168" s="54">
        <v>43944</v>
      </c>
      <c r="BR168" s="53" t="s">
        <v>95</v>
      </c>
      <c r="BS168" s="53" t="s">
        <v>366</v>
      </c>
      <c r="BT168" s="53" t="s">
        <v>387</v>
      </c>
      <c r="BU168" s="4"/>
    </row>
    <row r="169" spans="53:73" x14ac:dyDescent="0.3">
      <c r="BA169" s="4"/>
      <c r="BC169" s="4"/>
      <c r="BD169" s="65"/>
      <c r="BH169" s="62" t="s">
        <v>1082</v>
      </c>
      <c r="BI169" s="62" t="s">
        <v>1083</v>
      </c>
      <c r="BJ169" s="63">
        <v>434</v>
      </c>
      <c r="BK169" s="62" t="s">
        <v>93</v>
      </c>
      <c r="BL169" s="64" t="s">
        <v>305</v>
      </c>
      <c r="BO169" s="53" t="s">
        <v>335</v>
      </c>
      <c r="BP169" s="53" t="s">
        <v>1947</v>
      </c>
      <c r="BQ169" s="54">
        <v>45236</v>
      </c>
      <c r="BR169" s="53" t="s">
        <v>95</v>
      </c>
      <c r="BS169" s="53" t="s">
        <v>205</v>
      </c>
      <c r="BT169" s="53" t="s">
        <v>1946</v>
      </c>
      <c r="BU169" s="4"/>
    </row>
    <row r="170" spans="53:73" x14ac:dyDescent="0.3">
      <c r="BA170" s="4"/>
      <c r="BC170" s="4"/>
      <c r="BD170" s="65"/>
      <c r="BH170" s="62" t="s">
        <v>1258</v>
      </c>
      <c r="BI170" s="62" t="s">
        <v>1259</v>
      </c>
      <c r="BJ170" s="63">
        <v>441</v>
      </c>
      <c r="BK170" s="62" t="s">
        <v>102</v>
      </c>
      <c r="BL170" s="64" t="s">
        <v>83</v>
      </c>
      <c r="BO170" s="53" t="s">
        <v>135</v>
      </c>
      <c r="BP170" s="53" t="s">
        <v>389</v>
      </c>
      <c r="BQ170" s="54">
        <v>44028</v>
      </c>
      <c r="BR170" s="53" t="s">
        <v>95</v>
      </c>
      <c r="BS170" s="53" t="s">
        <v>369</v>
      </c>
      <c r="BT170" s="53" t="s">
        <v>390</v>
      </c>
      <c r="BU170" s="4"/>
    </row>
    <row r="171" spans="53:73" x14ac:dyDescent="0.3">
      <c r="BA171" s="4"/>
      <c r="BC171" s="4"/>
      <c r="BD171" s="65"/>
      <c r="BH171" s="62" t="s">
        <v>1263</v>
      </c>
      <c r="BI171" s="62" t="s">
        <v>1264</v>
      </c>
      <c r="BJ171" s="63">
        <v>442</v>
      </c>
      <c r="BK171" s="62" t="s">
        <v>93</v>
      </c>
      <c r="BL171" s="64" t="s">
        <v>83</v>
      </c>
      <c r="BO171" s="53" t="s">
        <v>320</v>
      </c>
      <c r="BP171" s="53" t="s">
        <v>392</v>
      </c>
      <c r="BQ171" s="54">
        <v>44084</v>
      </c>
      <c r="BR171" s="53" t="s">
        <v>95</v>
      </c>
      <c r="BS171" s="53" t="s">
        <v>393</v>
      </c>
      <c r="BT171" s="53" t="s">
        <v>394</v>
      </c>
      <c r="BU171" s="4"/>
    </row>
    <row r="172" spans="53:73" x14ac:dyDescent="0.3">
      <c r="BA172" s="4"/>
      <c r="BC172" s="4"/>
      <c r="BD172" s="65"/>
      <c r="BH172" s="62" t="s">
        <v>1265</v>
      </c>
      <c r="BI172" s="62" t="s">
        <v>1266</v>
      </c>
      <c r="BJ172" s="63">
        <v>443</v>
      </c>
      <c r="BK172" s="62" t="s">
        <v>93</v>
      </c>
      <c r="BL172" s="64" t="s">
        <v>83</v>
      </c>
      <c r="BO172" s="53" t="s">
        <v>94</v>
      </c>
      <c r="BP172" s="53" t="s">
        <v>1928</v>
      </c>
      <c r="BQ172" s="54">
        <v>45223</v>
      </c>
      <c r="BR172" s="53" t="s">
        <v>95</v>
      </c>
      <c r="BS172" s="53" t="s">
        <v>128</v>
      </c>
      <c r="BT172" s="53" t="s">
        <v>1927</v>
      </c>
      <c r="BU172" s="4"/>
    </row>
    <row r="173" spans="53:73" x14ac:dyDescent="0.3">
      <c r="BA173" s="4"/>
      <c r="BC173" s="4"/>
      <c r="BD173" s="65"/>
      <c r="BH173" s="62" t="s">
        <v>1779</v>
      </c>
      <c r="BI173" s="62" t="s">
        <v>1780</v>
      </c>
      <c r="BJ173" s="63">
        <v>836</v>
      </c>
      <c r="BK173" s="62" t="s">
        <v>93</v>
      </c>
      <c r="BL173" s="64" t="s">
        <v>84</v>
      </c>
      <c r="BO173" s="53" t="s">
        <v>291</v>
      </c>
      <c r="BP173" s="53" t="s">
        <v>2108</v>
      </c>
      <c r="BQ173" s="54">
        <v>45278</v>
      </c>
      <c r="BR173" s="53" t="s">
        <v>95</v>
      </c>
      <c r="BS173" s="53" t="s">
        <v>349</v>
      </c>
      <c r="BT173" s="53" t="s">
        <v>2107</v>
      </c>
      <c r="BU173" s="4"/>
    </row>
    <row r="174" spans="53:73" x14ac:dyDescent="0.3">
      <c r="BA174" s="4"/>
      <c r="BC174" s="4"/>
      <c r="BD174" s="65"/>
      <c r="BH174" s="62" t="s">
        <v>1267</v>
      </c>
      <c r="BI174" s="62" t="s">
        <v>1268</v>
      </c>
      <c r="BJ174" s="63">
        <v>444</v>
      </c>
      <c r="BK174" s="62" t="s">
        <v>93</v>
      </c>
      <c r="BL174" s="64" t="s">
        <v>94</v>
      </c>
      <c r="BO174" s="53" t="s">
        <v>291</v>
      </c>
      <c r="BP174" s="53" t="s">
        <v>395</v>
      </c>
      <c r="BQ174" s="54">
        <v>44102</v>
      </c>
      <c r="BR174" s="53" t="s">
        <v>95</v>
      </c>
      <c r="BS174" s="53" t="s">
        <v>349</v>
      </c>
      <c r="BT174" s="53" t="s">
        <v>396</v>
      </c>
      <c r="BU174" s="4"/>
    </row>
    <row r="175" spans="53:73" x14ac:dyDescent="0.3">
      <c r="BA175" s="4"/>
      <c r="BC175" s="4"/>
      <c r="BD175" s="65"/>
      <c r="BH175" s="62" t="s">
        <v>1480</v>
      </c>
      <c r="BI175" s="62" t="s">
        <v>1481</v>
      </c>
      <c r="BJ175" s="63">
        <v>450</v>
      </c>
      <c r="BK175" s="62" t="s">
        <v>193</v>
      </c>
      <c r="BL175" s="64" t="s">
        <v>83</v>
      </c>
      <c r="BO175" s="53" t="s">
        <v>266</v>
      </c>
      <c r="BP175" s="53" t="s">
        <v>1563</v>
      </c>
      <c r="BQ175" s="54">
        <v>45111</v>
      </c>
      <c r="BR175" s="53" t="s">
        <v>95</v>
      </c>
      <c r="BS175" s="53" t="s">
        <v>1564</v>
      </c>
      <c r="BT175" s="53" t="s">
        <v>1562</v>
      </c>
      <c r="BU175" s="4"/>
    </row>
    <row r="176" spans="53:73" x14ac:dyDescent="0.3">
      <c r="BA176" s="4"/>
      <c r="BC176" s="4"/>
      <c r="BD176" s="65"/>
      <c r="BH176" s="62" t="s">
        <v>1552</v>
      </c>
      <c r="BI176" s="62" t="s">
        <v>1553</v>
      </c>
      <c r="BJ176" s="63">
        <v>837</v>
      </c>
      <c r="BK176" s="62" t="s">
        <v>93</v>
      </c>
      <c r="BL176" s="64" t="s">
        <v>853</v>
      </c>
      <c r="BO176" s="53" t="s">
        <v>266</v>
      </c>
      <c r="BP176" s="53" t="s">
        <v>1873</v>
      </c>
      <c r="BQ176" s="54">
        <v>45208</v>
      </c>
      <c r="BR176" s="53" t="s">
        <v>95</v>
      </c>
      <c r="BS176" s="53" t="s">
        <v>363</v>
      </c>
      <c r="BT176" s="53" t="s">
        <v>1872</v>
      </c>
      <c r="BU176" s="4"/>
    </row>
    <row r="177" spans="2:73" x14ac:dyDescent="0.3">
      <c r="BA177" s="4"/>
      <c r="BC177" s="4"/>
      <c r="BD177" s="65"/>
      <c r="BH177" s="91" t="s">
        <v>817</v>
      </c>
      <c r="BI177" s="91" t="s">
        <v>818</v>
      </c>
      <c r="BJ177" s="92">
        <v>392</v>
      </c>
      <c r="BK177" s="91" t="s">
        <v>93</v>
      </c>
      <c r="BL177" s="93" t="s">
        <v>84</v>
      </c>
      <c r="BO177" s="53" t="s">
        <v>266</v>
      </c>
      <c r="BP177" s="53" t="s">
        <v>1962</v>
      </c>
      <c r="BQ177" s="54">
        <v>45240</v>
      </c>
      <c r="BR177" s="53" t="s">
        <v>95</v>
      </c>
      <c r="BS177" s="53" t="s">
        <v>1300</v>
      </c>
      <c r="BT177" s="53" t="s">
        <v>1961</v>
      </c>
      <c r="BU177" s="4"/>
    </row>
    <row r="178" spans="2:73" x14ac:dyDescent="0.3">
      <c r="BA178" s="4"/>
      <c r="BC178" s="4"/>
      <c r="BD178" s="65"/>
      <c r="BH178" s="91" t="s">
        <v>904</v>
      </c>
      <c r="BI178" s="91" t="s">
        <v>905</v>
      </c>
      <c r="BJ178" s="92">
        <v>404</v>
      </c>
      <c r="BK178" s="91" t="s">
        <v>93</v>
      </c>
      <c r="BL178" s="93" t="s">
        <v>83</v>
      </c>
      <c r="BO178" s="53" t="s">
        <v>266</v>
      </c>
      <c r="BP178" s="53" t="s">
        <v>1455</v>
      </c>
      <c r="BQ178" s="54">
        <v>44160</v>
      </c>
      <c r="BR178" s="53" t="s">
        <v>95</v>
      </c>
      <c r="BS178" s="53" t="s">
        <v>1300</v>
      </c>
      <c r="BT178" s="53" t="s">
        <v>398</v>
      </c>
      <c r="BU178" s="4"/>
    </row>
    <row r="179" spans="2:73" x14ac:dyDescent="0.3">
      <c r="BA179" s="4"/>
      <c r="BC179" s="4"/>
      <c r="BD179" s="65"/>
      <c r="BH179" s="91" t="s">
        <v>80</v>
      </c>
      <c r="BI179" s="91" t="s">
        <v>81</v>
      </c>
      <c r="BJ179" s="92">
        <v>4</v>
      </c>
      <c r="BK179" s="91" t="s">
        <v>82</v>
      </c>
      <c r="BL179" s="93" t="s">
        <v>83</v>
      </c>
      <c r="BO179" s="53" t="s">
        <v>335</v>
      </c>
      <c r="BP179" s="53" t="s">
        <v>1089</v>
      </c>
      <c r="BQ179" s="54">
        <v>44685</v>
      </c>
      <c r="BR179" s="53" t="s">
        <v>95</v>
      </c>
      <c r="BS179" s="53" t="s">
        <v>346</v>
      </c>
      <c r="BT179" s="53" t="s">
        <v>1088</v>
      </c>
      <c r="BU179" s="4"/>
    </row>
    <row r="180" spans="2:73" x14ac:dyDescent="0.3">
      <c r="BA180" s="4"/>
      <c r="BC180" s="4"/>
      <c r="BD180" s="65"/>
      <c r="BH180" s="91" t="s">
        <v>87</v>
      </c>
      <c r="BI180" s="91" t="s">
        <v>88</v>
      </c>
      <c r="BJ180" s="92">
        <v>203</v>
      </c>
      <c r="BK180" s="91" t="s">
        <v>89</v>
      </c>
      <c r="BL180" s="93" t="s">
        <v>83</v>
      </c>
      <c r="BO180" s="53" t="s">
        <v>114</v>
      </c>
      <c r="BP180" s="53" t="s">
        <v>1124</v>
      </c>
      <c r="BQ180" s="54">
        <v>44879</v>
      </c>
      <c r="BR180" s="53" t="s">
        <v>95</v>
      </c>
      <c r="BS180" s="53" t="s">
        <v>400</v>
      </c>
      <c r="BT180" s="53" t="s">
        <v>1123</v>
      </c>
      <c r="BU180" s="4"/>
    </row>
    <row r="181" spans="2:73" x14ac:dyDescent="0.3">
      <c r="BA181" s="4"/>
      <c r="BC181" s="4"/>
      <c r="BD181" s="65"/>
      <c r="BH181" s="178" t="s">
        <v>91</v>
      </c>
      <c r="BI181" s="178" t="s">
        <v>92</v>
      </c>
      <c r="BJ181" s="179">
        <v>302</v>
      </c>
      <c r="BK181" s="178" t="s">
        <v>93</v>
      </c>
      <c r="BL181" s="180" t="s">
        <v>83</v>
      </c>
      <c r="BO181" s="53" t="s">
        <v>114</v>
      </c>
      <c r="BP181" s="53" t="s">
        <v>1126</v>
      </c>
      <c r="BQ181" s="54">
        <v>44907</v>
      </c>
      <c r="BR181" s="53" t="s">
        <v>95</v>
      </c>
      <c r="BS181" s="53" t="s">
        <v>400</v>
      </c>
      <c r="BT181" s="53" t="s">
        <v>1125</v>
      </c>
      <c r="BU181" s="4"/>
    </row>
    <row r="182" spans="2:73" x14ac:dyDescent="0.3">
      <c r="BA182" s="4"/>
      <c r="BC182" s="4"/>
      <c r="BD182" s="65"/>
      <c r="BH182" s="178" t="s">
        <v>97</v>
      </c>
      <c r="BI182" s="178" t="s">
        <v>98</v>
      </c>
      <c r="BJ182" s="179">
        <v>316</v>
      </c>
      <c r="BK182" s="178" t="s">
        <v>93</v>
      </c>
      <c r="BL182" s="180" t="s">
        <v>83</v>
      </c>
      <c r="BO182" s="53" t="s">
        <v>114</v>
      </c>
      <c r="BP182" s="53" t="s">
        <v>399</v>
      </c>
      <c r="BQ182" s="54">
        <v>44188</v>
      </c>
      <c r="BR182" s="53" t="s">
        <v>95</v>
      </c>
      <c r="BS182" s="53" t="s">
        <v>400</v>
      </c>
      <c r="BT182" s="53" t="s">
        <v>401</v>
      </c>
      <c r="BU182" s="4"/>
    </row>
    <row r="183" spans="2:73" x14ac:dyDescent="0.3">
      <c r="BA183" s="4"/>
      <c r="BC183" s="4"/>
      <c r="BD183" s="65"/>
      <c r="BH183" s="178" t="s">
        <v>100</v>
      </c>
      <c r="BI183" s="178" t="s">
        <v>101</v>
      </c>
      <c r="BJ183" s="179">
        <v>318</v>
      </c>
      <c r="BK183" s="178" t="s">
        <v>1269</v>
      </c>
      <c r="BL183" s="180" t="s">
        <v>131</v>
      </c>
      <c r="BO183" s="53" t="s">
        <v>320</v>
      </c>
      <c r="BP183" s="53" t="s">
        <v>863</v>
      </c>
      <c r="BQ183" s="54">
        <v>44427</v>
      </c>
      <c r="BR183" s="53" t="s">
        <v>95</v>
      </c>
      <c r="BS183" s="53" t="s">
        <v>393</v>
      </c>
      <c r="BT183" s="53" t="s">
        <v>862</v>
      </c>
      <c r="BU183" s="4"/>
    </row>
    <row r="184" spans="2:73" x14ac:dyDescent="0.3">
      <c r="BA184" s="4"/>
      <c r="BC184" s="4"/>
      <c r="BD184" s="65"/>
      <c r="BH184" s="178" t="s">
        <v>104</v>
      </c>
      <c r="BI184" s="178" t="s">
        <v>105</v>
      </c>
      <c r="BJ184" s="179">
        <v>365</v>
      </c>
      <c r="BK184" s="178" t="s">
        <v>93</v>
      </c>
      <c r="BL184" s="180" t="s">
        <v>83</v>
      </c>
      <c r="BO184" s="53" t="s">
        <v>320</v>
      </c>
      <c r="BP184" s="53" t="s">
        <v>1108</v>
      </c>
      <c r="BQ184" s="54">
        <v>44873</v>
      </c>
      <c r="BR184" s="53" t="s">
        <v>95</v>
      </c>
      <c r="BS184" s="53" t="s">
        <v>393</v>
      </c>
      <c r="BT184" s="53" t="s">
        <v>1107</v>
      </c>
      <c r="BU184" s="4"/>
    </row>
    <row r="185" spans="2:73" x14ac:dyDescent="0.3">
      <c r="BA185" s="4"/>
      <c r="BC185" s="4"/>
      <c r="BD185" s="65"/>
      <c r="BH185" s="178" t="s">
        <v>108</v>
      </c>
      <c r="BI185" s="178" t="s">
        <v>109</v>
      </c>
      <c r="BJ185" s="179">
        <v>382</v>
      </c>
      <c r="BK185" s="178" t="s">
        <v>93</v>
      </c>
      <c r="BL185" s="180" t="s">
        <v>83</v>
      </c>
      <c r="BO185" s="53" t="s">
        <v>320</v>
      </c>
      <c r="BP185" s="53" t="s">
        <v>1110</v>
      </c>
      <c r="BQ185" s="54">
        <v>44873</v>
      </c>
      <c r="BR185" s="53" t="s">
        <v>95</v>
      </c>
      <c r="BS185" s="53" t="s">
        <v>393</v>
      </c>
      <c r="BT185" s="53" t="s">
        <v>1109</v>
      </c>
      <c r="BU185" s="4"/>
    </row>
    <row r="186" spans="2:73" x14ac:dyDescent="0.3">
      <c r="B186" s="67"/>
      <c r="BA186" s="4"/>
      <c r="BC186" s="4"/>
      <c r="BD186" s="65"/>
      <c r="BH186" s="178" t="s">
        <v>111</v>
      </c>
      <c r="BI186" s="178" t="s">
        <v>112</v>
      </c>
      <c r="BJ186" s="179">
        <v>350</v>
      </c>
      <c r="BK186" s="178" t="s">
        <v>93</v>
      </c>
      <c r="BL186" s="180" t="s">
        <v>83</v>
      </c>
      <c r="BO186" s="53" t="s">
        <v>84</v>
      </c>
      <c r="BP186" s="53" t="s">
        <v>1115</v>
      </c>
      <c r="BQ186" s="54">
        <v>44888</v>
      </c>
      <c r="BR186" s="53" t="s">
        <v>95</v>
      </c>
      <c r="BS186" s="53" t="s">
        <v>393</v>
      </c>
      <c r="BT186" s="53" t="s">
        <v>1114</v>
      </c>
      <c r="BU186" s="4"/>
    </row>
    <row r="187" spans="2:73" x14ac:dyDescent="0.3">
      <c r="BA187" s="4"/>
      <c r="BC187" s="4"/>
      <c r="BD187" s="65"/>
      <c r="BH187" s="178" t="s">
        <v>117</v>
      </c>
      <c r="BI187" s="178" t="s">
        <v>118</v>
      </c>
      <c r="BJ187" s="179">
        <v>50</v>
      </c>
      <c r="BK187" s="178" t="s">
        <v>93</v>
      </c>
      <c r="BL187" s="180" t="s">
        <v>119</v>
      </c>
      <c r="BO187" s="53" t="s">
        <v>320</v>
      </c>
      <c r="BP187" s="53" t="s">
        <v>864</v>
      </c>
      <c r="BQ187" s="54">
        <v>44209</v>
      </c>
      <c r="BR187" s="53" t="s">
        <v>95</v>
      </c>
      <c r="BS187" s="53" t="s">
        <v>2115</v>
      </c>
      <c r="BT187" s="53" t="s">
        <v>404</v>
      </c>
      <c r="BU187" s="4"/>
    </row>
    <row r="188" spans="2:73" x14ac:dyDescent="0.3">
      <c r="BA188" s="4"/>
      <c r="BC188" s="4"/>
      <c r="BD188" s="65"/>
      <c r="BH188" s="178" t="s">
        <v>123</v>
      </c>
      <c r="BI188" s="178" t="s">
        <v>124</v>
      </c>
      <c r="BJ188" s="179">
        <v>172</v>
      </c>
      <c r="BK188" s="178" t="s">
        <v>93</v>
      </c>
      <c r="BL188" s="180" t="s">
        <v>119</v>
      </c>
      <c r="BO188" s="53" t="s">
        <v>114</v>
      </c>
      <c r="BP188" s="53" t="s">
        <v>1128</v>
      </c>
      <c r="BQ188" s="54">
        <v>44762</v>
      </c>
      <c r="BR188" s="53" t="s">
        <v>95</v>
      </c>
      <c r="BS188" s="53" t="s">
        <v>221</v>
      </c>
      <c r="BT188" s="53" t="s">
        <v>1127</v>
      </c>
      <c r="BU188" s="4"/>
    </row>
    <row r="189" spans="2:73" x14ac:dyDescent="0.3">
      <c r="BA189" s="4"/>
      <c r="BC189" s="4"/>
      <c r="BD189" s="65"/>
      <c r="BH189" s="178" t="s">
        <v>126</v>
      </c>
      <c r="BI189" s="178" t="s">
        <v>127</v>
      </c>
      <c r="BJ189" s="179">
        <v>315</v>
      </c>
      <c r="BK189" s="178" t="s">
        <v>93</v>
      </c>
      <c r="BL189" s="180" t="s">
        <v>119</v>
      </c>
      <c r="BO189" s="53" t="s">
        <v>266</v>
      </c>
      <c r="BP189" s="53" t="s">
        <v>2149</v>
      </c>
      <c r="BQ189" s="54">
        <v>45308</v>
      </c>
      <c r="BR189" s="53" t="s">
        <v>95</v>
      </c>
      <c r="BS189" s="53" t="s">
        <v>1564</v>
      </c>
      <c r="BT189" s="53" t="s">
        <v>2148</v>
      </c>
      <c r="BU189" s="4"/>
    </row>
    <row r="190" spans="2:73" x14ac:dyDescent="0.3">
      <c r="BA190" s="4"/>
      <c r="BC190" s="4"/>
      <c r="BD190" s="65"/>
      <c r="BH190" s="178" t="s">
        <v>129</v>
      </c>
      <c r="BI190" s="178" t="s">
        <v>130</v>
      </c>
      <c r="BJ190" s="179">
        <v>64</v>
      </c>
      <c r="BK190" s="178" t="s">
        <v>93</v>
      </c>
      <c r="BL190" s="180" t="s">
        <v>131</v>
      </c>
      <c r="BO190" s="53" t="s">
        <v>266</v>
      </c>
      <c r="BP190" s="53" t="s">
        <v>406</v>
      </c>
      <c r="BQ190" s="54">
        <v>44244</v>
      </c>
      <c r="BR190" s="53" t="s">
        <v>95</v>
      </c>
      <c r="BS190" s="53" t="s">
        <v>1564</v>
      </c>
      <c r="BT190" s="53" t="s">
        <v>407</v>
      </c>
      <c r="BU190" s="4"/>
    </row>
    <row r="191" spans="2:73" x14ac:dyDescent="0.3">
      <c r="BA191" s="4"/>
      <c r="BC191" s="4"/>
      <c r="BD191" s="65"/>
      <c r="BH191" s="178" t="s">
        <v>133</v>
      </c>
      <c r="BI191" s="178" t="s">
        <v>134</v>
      </c>
      <c r="BJ191" s="179">
        <v>83</v>
      </c>
      <c r="BK191" s="178" t="s">
        <v>93</v>
      </c>
      <c r="BL191" s="180" t="s">
        <v>131</v>
      </c>
      <c r="BO191" s="53" t="s">
        <v>94</v>
      </c>
      <c r="BP191" s="53" t="s">
        <v>1762</v>
      </c>
      <c r="BQ191" s="54">
        <v>45181</v>
      </c>
      <c r="BR191" s="53" t="s">
        <v>95</v>
      </c>
      <c r="BS191" s="53" t="s">
        <v>170</v>
      </c>
      <c r="BT191" s="53" t="s">
        <v>1761</v>
      </c>
      <c r="BU191" s="4"/>
    </row>
    <row r="192" spans="2:73" x14ac:dyDescent="0.3">
      <c r="BA192" s="4"/>
      <c r="BC192" s="4"/>
      <c r="BD192" s="65"/>
      <c r="BH192" s="178" t="s">
        <v>136</v>
      </c>
      <c r="BI192" s="178" t="s">
        <v>137</v>
      </c>
      <c r="BJ192" s="179">
        <v>90</v>
      </c>
      <c r="BK192" s="178" t="s">
        <v>93</v>
      </c>
      <c r="BL192" s="180" t="s">
        <v>131</v>
      </c>
      <c r="BO192" s="53" t="s">
        <v>135</v>
      </c>
      <c r="BP192" s="53" t="s">
        <v>408</v>
      </c>
      <c r="BQ192" s="54">
        <v>44264</v>
      </c>
      <c r="BR192" s="53" t="s">
        <v>95</v>
      </c>
      <c r="BS192" s="53" t="s">
        <v>409</v>
      </c>
      <c r="BT192" s="53" t="s">
        <v>410</v>
      </c>
      <c r="BU192" s="4"/>
    </row>
    <row r="193" spans="53:73" x14ac:dyDescent="0.3">
      <c r="BA193" s="4"/>
      <c r="BC193" s="4"/>
      <c r="BD193" s="65"/>
      <c r="BH193" s="178" t="s">
        <v>138</v>
      </c>
      <c r="BI193" s="178" t="s">
        <v>139</v>
      </c>
      <c r="BJ193" s="179">
        <v>126</v>
      </c>
      <c r="BK193" s="178" t="s">
        <v>93</v>
      </c>
      <c r="BL193" s="180" t="s">
        <v>131</v>
      </c>
      <c r="BO193" s="53" t="s">
        <v>84</v>
      </c>
      <c r="BP193" s="53" t="s">
        <v>1973</v>
      </c>
      <c r="BQ193" s="54">
        <v>45246</v>
      </c>
      <c r="BR193" s="53" t="s">
        <v>95</v>
      </c>
      <c r="BS193" s="53" t="s">
        <v>366</v>
      </c>
      <c r="BT193" s="53" t="s">
        <v>1972</v>
      </c>
      <c r="BU193" s="4"/>
    </row>
    <row r="194" spans="53:73" x14ac:dyDescent="0.3">
      <c r="BA194" s="4"/>
      <c r="BC194" s="4"/>
      <c r="BD194" s="65"/>
      <c r="BH194" s="178" t="s">
        <v>140</v>
      </c>
      <c r="BI194" s="178" t="s">
        <v>141</v>
      </c>
      <c r="BJ194" s="179">
        <v>171</v>
      </c>
      <c r="BK194" s="178" t="s">
        <v>93</v>
      </c>
      <c r="BL194" s="180" t="s">
        <v>131</v>
      </c>
      <c r="BO194" s="53" t="s">
        <v>291</v>
      </c>
      <c r="BP194" s="53" t="s">
        <v>411</v>
      </c>
      <c r="BQ194" s="54">
        <v>44279</v>
      </c>
      <c r="BR194" s="53" t="s">
        <v>95</v>
      </c>
      <c r="BS194" s="53" t="s">
        <v>412</v>
      </c>
      <c r="BT194" s="53" t="s">
        <v>413</v>
      </c>
      <c r="BU194" s="4"/>
    </row>
    <row r="195" spans="53:73" x14ac:dyDescent="0.3">
      <c r="BA195" s="4"/>
      <c r="BC195" s="4"/>
      <c r="BD195" s="65"/>
      <c r="BH195" s="178" t="s">
        <v>143</v>
      </c>
      <c r="BI195" s="178" t="s">
        <v>144</v>
      </c>
      <c r="BJ195" s="179">
        <v>200</v>
      </c>
      <c r="BK195" s="178" t="s">
        <v>93</v>
      </c>
      <c r="BL195" s="180" t="s">
        <v>131</v>
      </c>
      <c r="BO195" s="53" t="s">
        <v>335</v>
      </c>
      <c r="BP195" s="53" t="s">
        <v>1271</v>
      </c>
      <c r="BQ195" s="54">
        <v>44279</v>
      </c>
      <c r="BR195" s="53" t="s">
        <v>95</v>
      </c>
      <c r="BS195" s="53" t="s">
        <v>992</v>
      </c>
      <c r="BT195" s="53" t="s">
        <v>1270</v>
      </c>
      <c r="BU195" s="4"/>
    </row>
    <row r="196" spans="53:73" x14ac:dyDescent="0.3">
      <c r="BA196" s="4"/>
      <c r="BC196" s="4"/>
      <c r="BD196" s="65"/>
      <c r="BH196" s="178" t="s">
        <v>145</v>
      </c>
      <c r="BI196" s="178" t="s">
        <v>146</v>
      </c>
      <c r="BJ196" s="179">
        <v>225</v>
      </c>
      <c r="BK196" s="178" t="s">
        <v>93</v>
      </c>
      <c r="BL196" s="180" t="s">
        <v>131</v>
      </c>
      <c r="BO196" s="53" t="s">
        <v>266</v>
      </c>
      <c r="BP196" s="53" t="s">
        <v>415</v>
      </c>
      <c r="BQ196" s="54">
        <v>44305</v>
      </c>
      <c r="BR196" s="53" t="s">
        <v>95</v>
      </c>
      <c r="BS196" s="53" t="s">
        <v>388</v>
      </c>
      <c r="BT196" s="53" t="s">
        <v>416</v>
      </c>
      <c r="BU196" s="4"/>
    </row>
    <row r="197" spans="53:73" x14ac:dyDescent="0.3">
      <c r="BA197" s="4"/>
      <c r="BC197" s="4"/>
      <c r="BH197" s="178" t="s">
        <v>147</v>
      </c>
      <c r="BI197" s="178" t="s">
        <v>148</v>
      </c>
      <c r="BJ197" s="179">
        <v>240</v>
      </c>
      <c r="BK197" s="178" t="s">
        <v>93</v>
      </c>
      <c r="BL197" s="180" t="s">
        <v>131</v>
      </c>
      <c r="BO197" s="53" t="s">
        <v>266</v>
      </c>
      <c r="BP197" s="53" t="s">
        <v>1199</v>
      </c>
      <c r="BQ197" s="54">
        <v>44785</v>
      </c>
      <c r="BR197" s="53" t="s">
        <v>95</v>
      </c>
      <c r="BS197" s="53" t="s">
        <v>388</v>
      </c>
      <c r="BT197" s="53" t="s">
        <v>1198</v>
      </c>
      <c r="BU197" s="4"/>
    </row>
    <row r="198" spans="53:73" x14ac:dyDescent="0.3">
      <c r="BA198" s="4"/>
      <c r="BC198" s="4"/>
      <c r="BH198" s="178" t="s">
        <v>149</v>
      </c>
      <c r="BI198" s="178" t="s">
        <v>150</v>
      </c>
      <c r="BJ198" s="179">
        <v>277</v>
      </c>
      <c r="BK198" s="178" t="s">
        <v>93</v>
      </c>
      <c r="BL198" s="180" t="s">
        <v>131</v>
      </c>
      <c r="BO198" s="53" t="s">
        <v>266</v>
      </c>
      <c r="BP198" s="53" t="s">
        <v>417</v>
      </c>
      <c r="BQ198" s="54">
        <v>44315</v>
      </c>
      <c r="BR198" s="53" t="s">
        <v>95</v>
      </c>
      <c r="BS198" s="53" t="s">
        <v>1564</v>
      </c>
      <c r="BT198" s="53" t="s">
        <v>418</v>
      </c>
      <c r="BU198" s="4"/>
    </row>
    <row r="199" spans="53:73" x14ac:dyDescent="0.3">
      <c r="BA199" s="4"/>
      <c r="BC199" s="4"/>
      <c r="BH199" s="178" t="s">
        <v>151</v>
      </c>
      <c r="BI199" s="178" t="s">
        <v>152</v>
      </c>
      <c r="BJ199" s="179">
        <v>293</v>
      </c>
      <c r="BK199" s="178" t="s">
        <v>93</v>
      </c>
      <c r="BL199" s="180" t="s">
        <v>131</v>
      </c>
      <c r="BO199" s="53" t="s">
        <v>84</v>
      </c>
      <c r="BP199" s="53" t="s">
        <v>419</v>
      </c>
      <c r="BQ199" s="54">
        <v>44320</v>
      </c>
      <c r="BR199" s="53" t="s">
        <v>95</v>
      </c>
      <c r="BS199" s="53" t="s">
        <v>351</v>
      </c>
      <c r="BT199" s="53" t="s">
        <v>420</v>
      </c>
      <c r="BU199" s="4"/>
    </row>
    <row r="200" spans="53:73" x14ac:dyDescent="0.3">
      <c r="BA200" s="4"/>
      <c r="BC200" s="4"/>
      <c r="BH200" s="178" t="s">
        <v>154</v>
      </c>
      <c r="BI200" s="178" t="s">
        <v>155</v>
      </c>
      <c r="BJ200" s="179">
        <v>331</v>
      </c>
      <c r="BK200" s="178" t="s">
        <v>93</v>
      </c>
      <c r="BL200" s="180" t="s">
        <v>131</v>
      </c>
      <c r="BO200" s="53" t="s">
        <v>84</v>
      </c>
      <c r="BP200" s="53" t="s">
        <v>964</v>
      </c>
      <c r="BQ200" s="54">
        <v>44652</v>
      </c>
      <c r="BR200" s="53" t="s">
        <v>95</v>
      </c>
      <c r="BS200" s="53" t="s">
        <v>351</v>
      </c>
      <c r="BT200" s="53" t="s">
        <v>963</v>
      </c>
      <c r="BU200" s="4"/>
    </row>
    <row r="201" spans="53:73" x14ac:dyDescent="0.3">
      <c r="BA201" s="4"/>
      <c r="BC201" s="4"/>
      <c r="BH201" s="178" t="s">
        <v>157</v>
      </c>
      <c r="BI201" s="178" t="s">
        <v>158</v>
      </c>
      <c r="BJ201" s="179">
        <v>385</v>
      </c>
      <c r="BK201" s="178" t="s">
        <v>93</v>
      </c>
      <c r="BL201" s="180" t="s">
        <v>131</v>
      </c>
      <c r="BO201" s="53" t="s">
        <v>84</v>
      </c>
      <c r="BP201" s="53" t="s">
        <v>989</v>
      </c>
      <c r="BQ201" s="54">
        <v>44664</v>
      </c>
      <c r="BR201" s="53" t="s">
        <v>95</v>
      </c>
      <c r="BS201" s="53" t="s">
        <v>351</v>
      </c>
      <c r="BT201" s="53" t="s">
        <v>988</v>
      </c>
      <c r="BU201" s="4"/>
    </row>
    <row r="202" spans="53:73" x14ac:dyDescent="0.3">
      <c r="BA202" s="4"/>
      <c r="BC202" s="4"/>
      <c r="BH202" s="178" t="s">
        <v>160</v>
      </c>
      <c r="BI202" s="178" t="s">
        <v>161</v>
      </c>
      <c r="BJ202" s="179">
        <v>132</v>
      </c>
      <c r="BK202" s="178" t="s">
        <v>93</v>
      </c>
      <c r="BL202" s="180" t="s">
        <v>135</v>
      </c>
      <c r="BO202" s="53" t="s">
        <v>84</v>
      </c>
      <c r="BP202" s="53" t="s">
        <v>421</v>
      </c>
      <c r="BQ202" s="54">
        <v>44320</v>
      </c>
      <c r="BR202" s="53" t="s">
        <v>95</v>
      </c>
      <c r="BS202" s="53" t="s">
        <v>351</v>
      </c>
      <c r="BT202" s="53" t="s">
        <v>422</v>
      </c>
      <c r="BU202" s="4"/>
    </row>
    <row r="203" spans="53:73" x14ac:dyDescent="0.3">
      <c r="BA203" s="4"/>
      <c r="BC203" s="4"/>
      <c r="BH203" s="178" t="s">
        <v>162</v>
      </c>
      <c r="BI203" s="178" t="s">
        <v>163</v>
      </c>
      <c r="BJ203" s="179">
        <v>245</v>
      </c>
      <c r="BK203" s="178" t="s">
        <v>93</v>
      </c>
      <c r="BL203" s="180" t="s">
        <v>135</v>
      </c>
      <c r="BO203" s="53" t="s">
        <v>266</v>
      </c>
      <c r="BP203" s="53" t="s">
        <v>423</v>
      </c>
      <c r="BQ203" s="54">
        <v>44334</v>
      </c>
      <c r="BR203" s="53" t="s">
        <v>95</v>
      </c>
      <c r="BS203" s="53" t="s">
        <v>1564</v>
      </c>
      <c r="BT203" s="53" t="s">
        <v>424</v>
      </c>
      <c r="BU203" s="4"/>
    </row>
    <row r="204" spans="53:73" x14ac:dyDescent="0.3">
      <c r="BA204" s="4"/>
      <c r="BC204" s="4"/>
      <c r="BH204" s="178" t="s">
        <v>164</v>
      </c>
      <c r="BI204" s="178" t="s">
        <v>165</v>
      </c>
      <c r="BJ204" s="179">
        <v>91</v>
      </c>
      <c r="BK204" s="178" t="s">
        <v>93</v>
      </c>
      <c r="BL204" s="180" t="s">
        <v>166</v>
      </c>
      <c r="BO204" s="53" t="s">
        <v>266</v>
      </c>
      <c r="BP204" s="53" t="s">
        <v>1352</v>
      </c>
      <c r="BQ204" s="54">
        <v>44931</v>
      </c>
      <c r="BR204" s="53" t="s">
        <v>95</v>
      </c>
      <c r="BS204" s="53" t="s">
        <v>426</v>
      </c>
      <c r="BT204" s="53" t="s">
        <v>1351</v>
      </c>
      <c r="BU204" s="4"/>
    </row>
    <row r="205" spans="53:73" x14ac:dyDescent="0.3">
      <c r="BA205" s="4"/>
      <c r="BC205" s="4"/>
      <c r="BD205" s="4"/>
      <c r="BE205" s="4"/>
      <c r="BF205" s="4"/>
      <c r="BH205" s="178" t="s">
        <v>167</v>
      </c>
      <c r="BI205" s="178" t="s">
        <v>168</v>
      </c>
      <c r="BJ205" s="179">
        <v>47</v>
      </c>
      <c r="BK205" s="178" t="s">
        <v>169</v>
      </c>
      <c r="BL205" s="180" t="s">
        <v>94</v>
      </c>
      <c r="BO205" s="53" t="s">
        <v>266</v>
      </c>
      <c r="BP205" s="53" t="s">
        <v>425</v>
      </c>
      <c r="BQ205" s="54">
        <v>44375</v>
      </c>
      <c r="BR205" s="53" t="s">
        <v>95</v>
      </c>
      <c r="BS205" s="53" t="s">
        <v>426</v>
      </c>
      <c r="BT205" s="53" t="s">
        <v>427</v>
      </c>
      <c r="BU205" s="4"/>
    </row>
    <row r="206" spans="53:73" x14ac:dyDescent="0.3">
      <c r="BA206" s="4"/>
      <c r="BC206" s="4"/>
      <c r="BD206" s="4"/>
      <c r="BE206" s="4"/>
      <c r="BF206" s="4"/>
      <c r="BH206" s="178" t="s">
        <v>171</v>
      </c>
      <c r="BI206" s="178" t="s">
        <v>172</v>
      </c>
      <c r="BJ206" s="179">
        <v>131</v>
      </c>
      <c r="BK206" s="178" t="s">
        <v>93</v>
      </c>
      <c r="BL206" s="180" t="s">
        <v>94</v>
      </c>
      <c r="BO206" s="53" t="s">
        <v>335</v>
      </c>
      <c r="BP206" s="53" t="s">
        <v>829</v>
      </c>
      <c r="BQ206" s="54">
        <v>44398</v>
      </c>
      <c r="BR206" s="53" t="s">
        <v>95</v>
      </c>
      <c r="BS206" s="53" t="s">
        <v>414</v>
      </c>
      <c r="BT206" s="53" t="s">
        <v>828</v>
      </c>
      <c r="BU206" s="4"/>
    </row>
    <row r="207" spans="53:73" x14ac:dyDescent="0.3">
      <c r="BA207" s="4"/>
      <c r="BC207" s="4"/>
      <c r="BD207" s="4"/>
      <c r="BE207" s="4"/>
      <c r="BF207" s="4"/>
      <c r="BH207" s="178" t="s">
        <v>174</v>
      </c>
      <c r="BI207" s="178" t="s">
        <v>175</v>
      </c>
      <c r="BJ207" s="179">
        <v>166</v>
      </c>
      <c r="BK207" s="178" t="s">
        <v>93</v>
      </c>
      <c r="BL207" s="180" t="s">
        <v>94</v>
      </c>
      <c r="BO207" s="53" t="s">
        <v>335</v>
      </c>
      <c r="BP207" s="53" t="s">
        <v>855</v>
      </c>
      <c r="BQ207" s="54">
        <v>44405</v>
      </c>
      <c r="BR207" s="53" t="s">
        <v>95</v>
      </c>
      <c r="BS207" s="53" t="s">
        <v>856</v>
      </c>
      <c r="BT207" s="53" t="s">
        <v>854</v>
      </c>
      <c r="BU207" s="4"/>
    </row>
    <row r="208" spans="53:73" x14ac:dyDescent="0.3">
      <c r="BA208" s="4"/>
      <c r="BC208" s="4"/>
      <c r="BD208" s="4"/>
      <c r="BE208" s="4"/>
      <c r="BF208" s="4"/>
      <c r="BH208" s="178" t="s">
        <v>176</v>
      </c>
      <c r="BI208" s="178" t="s">
        <v>177</v>
      </c>
      <c r="BJ208" s="179">
        <v>167</v>
      </c>
      <c r="BK208" s="178" t="s">
        <v>93</v>
      </c>
      <c r="BL208" s="180" t="s">
        <v>94</v>
      </c>
      <c r="BO208" s="53" t="s">
        <v>335</v>
      </c>
      <c r="BP208" s="53" t="s">
        <v>858</v>
      </c>
      <c r="BQ208" s="54">
        <v>44410</v>
      </c>
      <c r="BR208" s="53" t="s">
        <v>95</v>
      </c>
      <c r="BS208" s="53" t="s">
        <v>856</v>
      </c>
      <c r="BT208" s="53" t="s">
        <v>857</v>
      </c>
      <c r="BU208" s="4"/>
    </row>
    <row r="209" spans="53:73" x14ac:dyDescent="0.3">
      <c r="BA209" s="4"/>
      <c r="BC209" s="4"/>
      <c r="BD209" s="4"/>
      <c r="BE209" s="4"/>
      <c r="BF209" s="4"/>
      <c r="BH209" s="178" t="s">
        <v>178</v>
      </c>
      <c r="BI209" s="178" t="s">
        <v>179</v>
      </c>
      <c r="BJ209" s="179">
        <v>221</v>
      </c>
      <c r="BK209" s="178" t="s">
        <v>93</v>
      </c>
      <c r="BL209" s="180" t="s">
        <v>94</v>
      </c>
      <c r="BO209" s="53" t="s">
        <v>266</v>
      </c>
      <c r="BP209" s="53" t="s">
        <v>876</v>
      </c>
      <c r="BQ209" s="54">
        <v>44515</v>
      </c>
      <c r="BR209" s="53" t="s">
        <v>95</v>
      </c>
      <c r="BS209" s="53" t="s">
        <v>405</v>
      </c>
      <c r="BT209" s="53" t="s">
        <v>875</v>
      </c>
      <c r="BU209" s="4"/>
    </row>
    <row r="210" spans="53:73" x14ac:dyDescent="0.3">
      <c r="BA210" s="4"/>
      <c r="BC210" s="4"/>
      <c r="BD210" s="4"/>
      <c r="BE210" s="4"/>
      <c r="BF210" s="4"/>
      <c r="BH210" s="178" t="s">
        <v>181</v>
      </c>
      <c r="BI210" s="178" t="s">
        <v>182</v>
      </c>
      <c r="BJ210" s="179">
        <v>290</v>
      </c>
      <c r="BK210" s="178" t="s">
        <v>93</v>
      </c>
      <c r="BL210" s="180" t="s">
        <v>94</v>
      </c>
      <c r="BO210" s="53" t="s">
        <v>291</v>
      </c>
      <c r="BP210" s="53" t="s">
        <v>878</v>
      </c>
      <c r="BQ210" s="54">
        <v>44522</v>
      </c>
      <c r="BR210" s="53" t="s">
        <v>95</v>
      </c>
      <c r="BS210" s="53" t="s">
        <v>349</v>
      </c>
      <c r="BT210" s="53" t="s">
        <v>877</v>
      </c>
      <c r="BU210" s="4"/>
    </row>
    <row r="211" spans="53:73" x14ac:dyDescent="0.3">
      <c r="BA211" s="4"/>
      <c r="BC211" s="4"/>
      <c r="BD211" s="4"/>
      <c r="BE211" s="4"/>
      <c r="BF211" s="4"/>
      <c r="BH211" s="178" t="s">
        <v>183</v>
      </c>
      <c r="BI211" s="178" t="s">
        <v>184</v>
      </c>
      <c r="BJ211" s="179">
        <v>299</v>
      </c>
      <c r="BK211" s="178" t="s">
        <v>93</v>
      </c>
      <c r="BL211" s="180" t="s">
        <v>94</v>
      </c>
      <c r="BO211" s="53" t="s">
        <v>291</v>
      </c>
      <c r="BP211" s="53" t="s">
        <v>977</v>
      </c>
      <c r="BQ211" s="54">
        <v>44651</v>
      </c>
      <c r="BR211" s="53" t="s">
        <v>95</v>
      </c>
      <c r="BS211" s="53" t="s">
        <v>349</v>
      </c>
      <c r="BT211" s="53" t="s">
        <v>976</v>
      </c>
      <c r="BU211" s="4"/>
    </row>
    <row r="212" spans="53:73" x14ac:dyDescent="0.3">
      <c r="BA212" s="4"/>
      <c r="BC212" s="4"/>
      <c r="BD212" s="4"/>
      <c r="BE212" s="4"/>
      <c r="BF212" s="4"/>
      <c r="BH212" s="178" t="s">
        <v>185</v>
      </c>
      <c r="BI212" s="178" t="s">
        <v>186</v>
      </c>
      <c r="BJ212" s="179">
        <v>378</v>
      </c>
      <c r="BK212" s="178" t="s">
        <v>93</v>
      </c>
      <c r="BL212" s="180" t="s">
        <v>94</v>
      </c>
      <c r="BO212" s="53" t="s">
        <v>291</v>
      </c>
      <c r="BP212" s="53" t="s">
        <v>1375</v>
      </c>
      <c r="BQ212" s="54">
        <v>45000</v>
      </c>
      <c r="BR212" s="53" t="s">
        <v>95</v>
      </c>
      <c r="BS212" s="53" t="s">
        <v>349</v>
      </c>
      <c r="BT212" s="53" t="s">
        <v>1374</v>
      </c>
      <c r="BU212" s="4"/>
    </row>
    <row r="213" spans="53:73" x14ac:dyDescent="0.3">
      <c r="BA213" s="4"/>
      <c r="BC213" s="4"/>
      <c r="BD213" s="4"/>
      <c r="BE213" s="4"/>
      <c r="BF213" s="4"/>
      <c r="BH213" s="178" t="s">
        <v>188</v>
      </c>
      <c r="BI213" s="178" t="s">
        <v>189</v>
      </c>
      <c r="BJ213" s="179">
        <v>381</v>
      </c>
      <c r="BK213" s="178" t="s">
        <v>93</v>
      </c>
      <c r="BL213" s="180" t="s">
        <v>94</v>
      </c>
      <c r="BO213" s="53" t="s">
        <v>291</v>
      </c>
      <c r="BP213" s="53" t="s">
        <v>880</v>
      </c>
      <c r="BQ213" s="54">
        <v>44433</v>
      </c>
      <c r="BR213" s="53" t="s">
        <v>95</v>
      </c>
      <c r="BS213" s="53" t="s">
        <v>349</v>
      </c>
      <c r="BT213" s="53" t="s">
        <v>879</v>
      </c>
      <c r="BU213" s="4"/>
    </row>
    <row r="214" spans="53:73" x14ac:dyDescent="0.3">
      <c r="BA214" s="4"/>
      <c r="BC214" s="4"/>
      <c r="BD214" s="4"/>
      <c r="BE214" s="4"/>
      <c r="BF214" s="4"/>
      <c r="BH214" s="178" t="s">
        <v>191</v>
      </c>
      <c r="BI214" s="178" t="s">
        <v>192</v>
      </c>
      <c r="BJ214" s="179">
        <v>458</v>
      </c>
      <c r="BK214" s="178" t="s">
        <v>193</v>
      </c>
      <c r="BL214" s="180" t="s">
        <v>194</v>
      </c>
      <c r="BO214" s="53" t="s">
        <v>291</v>
      </c>
      <c r="BP214" s="53" t="s">
        <v>882</v>
      </c>
      <c r="BQ214" s="54">
        <v>44453</v>
      </c>
      <c r="BR214" s="53" t="s">
        <v>95</v>
      </c>
      <c r="BS214" s="53" t="s">
        <v>349</v>
      </c>
      <c r="BT214" s="53" t="s">
        <v>881</v>
      </c>
      <c r="BU214" s="4"/>
    </row>
    <row r="215" spans="53:73" x14ac:dyDescent="0.3">
      <c r="BA215" s="4"/>
      <c r="BC215" s="4"/>
      <c r="BD215" s="4"/>
      <c r="BE215" s="4"/>
      <c r="BF215" s="4"/>
      <c r="BH215" s="178" t="s">
        <v>196</v>
      </c>
      <c r="BI215" s="178" t="s">
        <v>197</v>
      </c>
      <c r="BJ215" s="179">
        <v>13</v>
      </c>
      <c r="BK215" s="178" t="s">
        <v>93</v>
      </c>
      <c r="BL215" s="180" t="s">
        <v>194</v>
      </c>
      <c r="BO215" s="53" t="s">
        <v>94</v>
      </c>
      <c r="BP215" s="53" t="s">
        <v>886</v>
      </c>
      <c r="BQ215" s="54">
        <v>44453</v>
      </c>
      <c r="BR215" s="53" t="s">
        <v>95</v>
      </c>
      <c r="BS215" s="53" t="s">
        <v>200</v>
      </c>
      <c r="BT215" s="53" t="s">
        <v>885</v>
      </c>
      <c r="BU215" s="4"/>
    </row>
    <row r="216" spans="53:73" x14ac:dyDescent="0.3">
      <c r="BA216" s="4"/>
      <c r="BC216" s="4"/>
      <c r="BD216" s="4"/>
      <c r="BE216" s="4"/>
      <c r="BF216" s="4"/>
      <c r="BH216" s="178" t="s">
        <v>198</v>
      </c>
      <c r="BI216" s="178" t="s">
        <v>199</v>
      </c>
      <c r="BJ216" s="179">
        <v>21</v>
      </c>
      <c r="BK216" s="178" t="s">
        <v>93</v>
      </c>
      <c r="BL216" s="180" t="s">
        <v>194</v>
      </c>
      <c r="BO216" s="53" t="s">
        <v>335</v>
      </c>
      <c r="BP216" s="53" t="s">
        <v>860</v>
      </c>
      <c r="BQ216" s="54">
        <v>44476</v>
      </c>
      <c r="BR216" s="53" t="s">
        <v>95</v>
      </c>
      <c r="BS216" s="53" t="s">
        <v>346</v>
      </c>
      <c r="BT216" s="53" t="s">
        <v>859</v>
      </c>
      <c r="BU216" s="4"/>
    </row>
    <row r="217" spans="53:73" x14ac:dyDescent="0.3">
      <c r="BA217" s="4"/>
      <c r="BC217" s="4"/>
      <c r="BD217" s="4"/>
      <c r="BE217" s="4"/>
      <c r="BF217" s="4"/>
      <c r="BH217" s="178" t="s">
        <v>201</v>
      </c>
      <c r="BI217" s="178" t="s">
        <v>202</v>
      </c>
      <c r="BJ217" s="179">
        <v>37</v>
      </c>
      <c r="BK217" s="178" t="s">
        <v>82</v>
      </c>
      <c r="BL217" s="180" t="s">
        <v>194</v>
      </c>
      <c r="BO217" s="53" t="s">
        <v>84</v>
      </c>
      <c r="BP217" s="53" t="s">
        <v>868</v>
      </c>
      <c r="BQ217" s="54">
        <v>44487</v>
      </c>
      <c r="BR217" s="53" t="s">
        <v>95</v>
      </c>
      <c r="BS217" s="53" t="s">
        <v>330</v>
      </c>
      <c r="BT217" s="53" t="s">
        <v>867</v>
      </c>
      <c r="BU217" s="4"/>
    </row>
    <row r="218" spans="53:73" x14ac:dyDescent="0.3">
      <c r="BA218" s="4"/>
      <c r="BC218" s="4"/>
      <c r="BD218" s="4"/>
      <c r="BE218" s="4"/>
      <c r="BF218" s="4"/>
      <c r="BH218" s="178" t="s">
        <v>203</v>
      </c>
      <c r="BI218" s="178" t="s">
        <v>204</v>
      </c>
      <c r="BJ218" s="179">
        <v>54</v>
      </c>
      <c r="BK218" s="178" t="s">
        <v>93</v>
      </c>
      <c r="BL218" s="180" t="s">
        <v>194</v>
      </c>
      <c r="BO218" s="53" t="s">
        <v>84</v>
      </c>
      <c r="BP218" s="53" t="s">
        <v>870</v>
      </c>
      <c r="BQ218" s="54">
        <v>44487</v>
      </c>
      <c r="BR218" s="53" t="s">
        <v>95</v>
      </c>
      <c r="BS218" s="53" t="s">
        <v>330</v>
      </c>
      <c r="BT218" s="53" t="s">
        <v>869</v>
      </c>
      <c r="BU218" s="4"/>
    </row>
    <row r="219" spans="53:73" x14ac:dyDescent="0.3">
      <c r="BA219" s="4"/>
      <c r="BC219" s="4"/>
      <c r="BD219" s="4"/>
      <c r="BE219" s="4"/>
      <c r="BF219" s="4"/>
      <c r="BH219" s="178" t="s">
        <v>206</v>
      </c>
      <c r="BI219" s="178" t="s">
        <v>207</v>
      </c>
      <c r="BJ219" s="179">
        <v>86</v>
      </c>
      <c r="BK219" s="178" t="s">
        <v>93</v>
      </c>
      <c r="BL219" s="180" t="s">
        <v>194</v>
      </c>
      <c r="BO219" s="53" t="s">
        <v>84</v>
      </c>
      <c r="BP219" s="53" t="s">
        <v>872</v>
      </c>
      <c r="BQ219" s="54">
        <v>44487</v>
      </c>
      <c r="BR219" s="53" t="s">
        <v>95</v>
      </c>
      <c r="BS219" s="53" t="s">
        <v>330</v>
      </c>
      <c r="BT219" s="53" t="s">
        <v>871</v>
      </c>
      <c r="BU219" s="4"/>
    </row>
    <row r="220" spans="53:73" x14ac:dyDescent="0.3">
      <c r="BA220" s="4"/>
      <c r="BC220" s="4"/>
      <c r="BD220" s="4"/>
      <c r="BE220" s="4"/>
      <c r="BF220" s="4"/>
      <c r="BH220" s="178" t="s">
        <v>208</v>
      </c>
      <c r="BI220" s="178" t="s">
        <v>209</v>
      </c>
      <c r="BJ220" s="179">
        <v>117</v>
      </c>
      <c r="BK220" s="178" t="s">
        <v>93</v>
      </c>
      <c r="BL220" s="180" t="s">
        <v>194</v>
      </c>
      <c r="BO220" s="53" t="s">
        <v>114</v>
      </c>
      <c r="BP220" s="53" t="s">
        <v>922</v>
      </c>
      <c r="BQ220" s="54">
        <v>44608</v>
      </c>
      <c r="BR220" s="53" t="s">
        <v>95</v>
      </c>
      <c r="BS220" s="53" t="s">
        <v>1971</v>
      </c>
      <c r="BT220" s="53" t="s">
        <v>921</v>
      </c>
      <c r="BU220" s="4"/>
    </row>
    <row r="221" spans="53:73" x14ac:dyDescent="0.3">
      <c r="BA221" s="4"/>
      <c r="BC221" s="4"/>
      <c r="BD221" s="4"/>
      <c r="BE221" s="4"/>
      <c r="BF221" s="4"/>
      <c r="BH221" s="178" t="s">
        <v>210</v>
      </c>
      <c r="BI221" s="178" t="s">
        <v>211</v>
      </c>
      <c r="BJ221" s="179">
        <v>176</v>
      </c>
      <c r="BK221" s="178" t="s">
        <v>93</v>
      </c>
      <c r="BL221" s="180" t="s">
        <v>194</v>
      </c>
      <c r="BO221" s="53" t="s">
        <v>114</v>
      </c>
      <c r="BP221" s="53" t="s">
        <v>924</v>
      </c>
      <c r="BQ221" s="54">
        <v>44620</v>
      </c>
      <c r="BR221" s="53" t="s">
        <v>95</v>
      </c>
      <c r="BS221" s="53" t="s">
        <v>1971</v>
      </c>
      <c r="BT221" s="53" t="s">
        <v>923</v>
      </c>
      <c r="BU221" s="4"/>
    </row>
    <row r="222" spans="53:73" x14ac:dyDescent="0.3">
      <c r="BA222" s="4"/>
      <c r="BC222" s="4"/>
      <c r="BD222" s="4"/>
      <c r="BE222" s="4"/>
      <c r="BF222" s="4"/>
      <c r="BH222" s="178" t="s">
        <v>212</v>
      </c>
      <c r="BI222" s="178" t="s">
        <v>213</v>
      </c>
      <c r="BJ222" s="179">
        <v>178</v>
      </c>
      <c r="BK222" s="178" t="s">
        <v>93</v>
      </c>
      <c r="BL222" s="180" t="s">
        <v>194</v>
      </c>
      <c r="BO222" s="53" t="s">
        <v>266</v>
      </c>
      <c r="BP222" s="53" t="s">
        <v>936</v>
      </c>
      <c r="BQ222" s="54">
        <v>44550</v>
      </c>
      <c r="BR222" s="53" t="s">
        <v>95</v>
      </c>
      <c r="BS222" s="53" t="s">
        <v>388</v>
      </c>
      <c r="BT222" s="53" t="s">
        <v>935</v>
      </c>
      <c r="BU222" s="4"/>
    </row>
    <row r="223" spans="53:73" x14ac:dyDescent="0.3">
      <c r="BA223" s="4"/>
      <c r="BC223" s="4"/>
      <c r="BD223" s="4"/>
      <c r="BE223" s="4"/>
      <c r="BF223" s="4"/>
      <c r="BH223" s="178" t="s">
        <v>214</v>
      </c>
      <c r="BI223" s="178" t="s">
        <v>215</v>
      </c>
      <c r="BJ223" s="179">
        <v>305</v>
      </c>
      <c r="BK223" s="178" t="s">
        <v>82</v>
      </c>
      <c r="BL223" s="180" t="s">
        <v>194</v>
      </c>
      <c r="BO223" s="53" t="s">
        <v>114</v>
      </c>
      <c r="BP223" s="53" t="s">
        <v>1727</v>
      </c>
      <c r="BQ223" s="54">
        <v>45191</v>
      </c>
      <c r="BR223" s="53" t="s">
        <v>95</v>
      </c>
      <c r="BS223" s="53" t="s">
        <v>205</v>
      </c>
      <c r="BT223" s="53" t="s">
        <v>1781</v>
      </c>
      <c r="BU223" s="4"/>
    </row>
    <row r="224" spans="53:73" x14ac:dyDescent="0.3">
      <c r="BA224" s="4"/>
      <c r="BC224" s="4"/>
      <c r="BD224" s="4"/>
      <c r="BE224" s="4"/>
      <c r="BF224" s="4"/>
      <c r="BH224" s="178" t="s">
        <v>216</v>
      </c>
      <c r="BI224" s="178" t="s">
        <v>217</v>
      </c>
      <c r="BJ224" s="179">
        <v>346</v>
      </c>
      <c r="BK224" s="178" t="s">
        <v>93</v>
      </c>
      <c r="BL224" s="180" t="s">
        <v>194</v>
      </c>
      <c r="BO224" s="53" t="s">
        <v>291</v>
      </c>
      <c r="BP224" s="53" t="s">
        <v>1215</v>
      </c>
      <c r="BQ224" s="54">
        <v>44809</v>
      </c>
      <c r="BR224" s="53" t="s">
        <v>95</v>
      </c>
      <c r="BS224" s="53" t="s">
        <v>328</v>
      </c>
      <c r="BT224" s="53" t="s">
        <v>1214</v>
      </c>
      <c r="BU224" s="4"/>
    </row>
    <row r="225" spans="53:73" x14ac:dyDescent="0.3">
      <c r="BA225" s="4"/>
      <c r="BC225" s="4"/>
      <c r="BD225" s="4"/>
      <c r="BE225" s="4"/>
      <c r="BF225" s="4"/>
      <c r="BH225" s="178" t="s">
        <v>218</v>
      </c>
      <c r="BI225" s="178" t="s">
        <v>219</v>
      </c>
      <c r="BJ225" s="179">
        <v>332</v>
      </c>
      <c r="BK225" s="178" t="s">
        <v>93</v>
      </c>
      <c r="BL225" s="180" t="s">
        <v>220</v>
      </c>
      <c r="BO225" s="53" t="s">
        <v>291</v>
      </c>
      <c r="BP225" s="53" t="s">
        <v>1217</v>
      </c>
      <c r="BQ225" s="54">
        <v>44908</v>
      </c>
      <c r="BR225" s="53" t="s">
        <v>95</v>
      </c>
      <c r="BS225" s="53" t="s">
        <v>328</v>
      </c>
      <c r="BT225" s="53" t="s">
        <v>1216</v>
      </c>
      <c r="BU225" s="4"/>
    </row>
    <row r="226" spans="53:73" x14ac:dyDescent="0.3">
      <c r="BA226" s="4"/>
      <c r="BC226" s="4"/>
      <c r="BD226" s="4"/>
      <c r="BE226" s="4"/>
      <c r="BF226" s="4"/>
      <c r="BH226" s="178" t="s">
        <v>222</v>
      </c>
      <c r="BI226" s="178" t="s">
        <v>223</v>
      </c>
      <c r="BJ226" s="179">
        <v>342</v>
      </c>
      <c r="BK226" s="178" t="s">
        <v>93</v>
      </c>
      <c r="BL226" s="180" t="s">
        <v>320</v>
      </c>
      <c r="BO226" s="53" t="s">
        <v>291</v>
      </c>
      <c r="BP226" s="53" t="s">
        <v>1377</v>
      </c>
      <c r="BQ226" s="54">
        <v>45015</v>
      </c>
      <c r="BR226" s="53" t="s">
        <v>95</v>
      </c>
      <c r="BS226" s="53" t="s">
        <v>328</v>
      </c>
      <c r="BT226" s="53" t="s">
        <v>1376</v>
      </c>
      <c r="BU226" s="4"/>
    </row>
    <row r="227" spans="53:73" x14ac:dyDescent="0.3">
      <c r="BA227" s="4"/>
      <c r="BC227" s="4"/>
      <c r="BD227" s="4"/>
      <c r="BE227" s="4"/>
      <c r="BF227" s="4"/>
      <c r="BH227" s="178" t="s">
        <v>224</v>
      </c>
      <c r="BI227" s="178" t="s">
        <v>225</v>
      </c>
      <c r="BJ227" s="179">
        <v>348</v>
      </c>
      <c r="BK227" s="178" t="s">
        <v>93</v>
      </c>
      <c r="BL227" s="180" t="s">
        <v>220</v>
      </c>
      <c r="BO227" s="53" t="s">
        <v>291</v>
      </c>
      <c r="BP227" s="53" t="s">
        <v>1528</v>
      </c>
      <c r="BQ227" s="54">
        <v>45089</v>
      </c>
      <c r="BR227" s="53" t="s">
        <v>95</v>
      </c>
      <c r="BS227" s="53" t="s">
        <v>1529</v>
      </c>
      <c r="BT227" s="53" t="s">
        <v>1527</v>
      </c>
      <c r="BU227" s="4"/>
    </row>
    <row r="228" spans="53:73" x14ac:dyDescent="0.3">
      <c r="BA228" s="4"/>
      <c r="BC228" s="4"/>
      <c r="BD228" s="4"/>
      <c r="BE228" s="4"/>
      <c r="BF228" s="4"/>
      <c r="BH228" s="178" t="s">
        <v>226</v>
      </c>
      <c r="BI228" s="178" t="s">
        <v>227</v>
      </c>
      <c r="BJ228" s="179">
        <v>357</v>
      </c>
      <c r="BK228" s="178" t="s">
        <v>228</v>
      </c>
      <c r="BL228" s="180" t="s">
        <v>220</v>
      </c>
      <c r="BO228" s="53" t="s">
        <v>291</v>
      </c>
      <c r="BP228" s="53" t="s">
        <v>945</v>
      </c>
      <c r="BQ228" s="54">
        <v>44571</v>
      </c>
      <c r="BR228" s="53" t="s">
        <v>95</v>
      </c>
      <c r="BS228" s="53" t="s">
        <v>328</v>
      </c>
      <c r="BT228" s="53" t="s">
        <v>944</v>
      </c>
      <c r="BU228" s="4"/>
    </row>
    <row r="229" spans="53:73" x14ac:dyDescent="0.3">
      <c r="BA229" s="4"/>
      <c r="BC229" s="4"/>
      <c r="BD229" s="4"/>
      <c r="BE229" s="4"/>
      <c r="BF229" s="4"/>
      <c r="BH229" s="178" t="s">
        <v>229</v>
      </c>
      <c r="BI229" s="178" t="s">
        <v>230</v>
      </c>
      <c r="BJ229" s="179">
        <v>367</v>
      </c>
      <c r="BK229" s="178" t="s">
        <v>93</v>
      </c>
      <c r="BL229" s="180" t="s">
        <v>220</v>
      </c>
      <c r="BO229" s="53" t="s">
        <v>84</v>
      </c>
      <c r="BP229" s="53" t="s">
        <v>916</v>
      </c>
      <c r="BQ229" s="54">
        <v>44581</v>
      </c>
      <c r="BR229" s="53" t="s">
        <v>95</v>
      </c>
      <c r="BS229" s="53" t="s">
        <v>397</v>
      </c>
      <c r="BT229" s="53" t="s">
        <v>915</v>
      </c>
      <c r="BU229" s="4"/>
    </row>
    <row r="230" spans="53:73" x14ac:dyDescent="0.3">
      <c r="BA230" s="4"/>
      <c r="BC230" s="4"/>
      <c r="BD230" s="4"/>
      <c r="BE230" s="4"/>
      <c r="BF230" s="4"/>
      <c r="BH230" s="178" t="s">
        <v>231</v>
      </c>
      <c r="BI230" s="178" t="s">
        <v>232</v>
      </c>
      <c r="BJ230" s="179">
        <v>380</v>
      </c>
      <c r="BK230" s="178" t="s">
        <v>93</v>
      </c>
      <c r="BL230" s="180" t="s">
        <v>220</v>
      </c>
      <c r="BO230" s="53" t="s">
        <v>266</v>
      </c>
      <c r="BP230" s="53" t="s">
        <v>938</v>
      </c>
      <c r="BQ230" s="54">
        <v>44599</v>
      </c>
      <c r="BR230" s="53" t="s">
        <v>95</v>
      </c>
      <c r="BS230" s="53" t="s">
        <v>334</v>
      </c>
      <c r="BT230" s="53" t="s">
        <v>937</v>
      </c>
      <c r="BU230" s="4"/>
    </row>
    <row r="231" spans="53:73" x14ac:dyDescent="0.3">
      <c r="BA231" s="4"/>
      <c r="BC231" s="4"/>
      <c r="BD231" s="4"/>
      <c r="BE231" s="4"/>
      <c r="BF231" s="4"/>
      <c r="BH231" s="178" t="s">
        <v>233</v>
      </c>
      <c r="BI231" s="178" t="s">
        <v>234</v>
      </c>
      <c r="BJ231" s="179">
        <v>855</v>
      </c>
      <c r="BK231" s="178" t="s">
        <v>93</v>
      </c>
      <c r="BL231" s="180" t="s">
        <v>220</v>
      </c>
      <c r="BO231" s="53" t="s">
        <v>125</v>
      </c>
      <c r="BP231" s="53" t="s">
        <v>926</v>
      </c>
      <c r="BQ231" s="54">
        <v>44615</v>
      </c>
      <c r="BR231" s="53" t="s">
        <v>95</v>
      </c>
      <c r="BS231" s="53" t="s">
        <v>712</v>
      </c>
      <c r="BT231" s="53" t="s">
        <v>925</v>
      </c>
      <c r="BU231" s="4"/>
    </row>
    <row r="232" spans="53:73" x14ac:dyDescent="0.3">
      <c r="BA232" s="4"/>
      <c r="BC232" s="4"/>
      <c r="BD232" s="4"/>
      <c r="BE232" s="4"/>
      <c r="BF232" s="4"/>
      <c r="BH232" s="178" t="s">
        <v>236</v>
      </c>
      <c r="BI232" s="178" t="s">
        <v>237</v>
      </c>
      <c r="BJ232" s="179">
        <v>856</v>
      </c>
      <c r="BK232" s="178" t="s">
        <v>93</v>
      </c>
      <c r="BL232" s="180" t="s">
        <v>266</v>
      </c>
      <c r="BO232" s="53" t="s">
        <v>335</v>
      </c>
      <c r="BP232" s="53" t="s">
        <v>909</v>
      </c>
      <c r="BQ232" s="54">
        <v>44620</v>
      </c>
      <c r="BR232" s="53" t="s">
        <v>95</v>
      </c>
      <c r="BS232" s="53" t="s">
        <v>910</v>
      </c>
      <c r="BT232" s="53" t="s">
        <v>908</v>
      </c>
      <c r="BU232" s="4"/>
    </row>
    <row r="233" spans="53:73" x14ac:dyDescent="0.3">
      <c r="BA233" s="4"/>
      <c r="BC233" s="4"/>
      <c r="BD233" s="4"/>
      <c r="BE233" s="4"/>
      <c r="BF233" s="4"/>
      <c r="BH233" s="178" t="s">
        <v>238</v>
      </c>
      <c r="BI233" s="178" t="s">
        <v>239</v>
      </c>
      <c r="BJ233" s="179">
        <v>857</v>
      </c>
      <c r="BK233" s="178" t="s">
        <v>93</v>
      </c>
      <c r="BL233" s="180" t="s">
        <v>84</v>
      </c>
      <c r="BO233" s="53" t="s">
        <v>266</v>
      </c>
      <c r="BP233" s="53" t="s">
        <v>940</v>
      </c>
      <c r="BQ233" s="54">
        <v>44621</v>
      </c>
      <c r="BR233" s="53" t="s">
        <v>95</v>
      </c>
      <c r="BS233" s="53" t="s">
        <v>941</v>
      </c>
      <c r="BT233" s="53" t="s">
        <v>939</v>
      </c>
      <c r="BU233" s="4"/>
    </row>
    <row r="234" spans="53:73" x14ac:dyDescent="0.3">
      <c r="BA234" s="4"/>
      <c r="BC234" s="4"/>
      <c r="BD234" s="4"/>
      <c r="BE234" s="4"/>
      <c r="BF234" s="4"/>
      <c r="BH234" s="178" t="s">
        <v>241</v>
      </c>
      <c r="BI234" s="178" t="s">
        <v>242</v>
      </c>
      <c r="BJ234" s="179">
        <v>859</v>
      </c>
      <c r="BK234" s="178" t="s">
        <v>93</v>
      </c>
      <c r="BL234" s="180" t="s">
        <v>220</v>
      </c>
      <c r="BO234" s="53" t="s">
        <v>266</v>
      </c>
      <c r="BP234" s="53" t="s">
        <v>943</v>
      </c>
      <c r="BQ234" s="54">
        <v>44621</v>
      </c>
      <c r="BR234" s="53" t="s">
        <v>95</v>
      </c>
      <c r="BS234" s="53" t="s">
        <v>941</v>
      </c>
      <c r="BT234" s="53" t="s">
        <v>942</v>
      </c>
      <c r="BU234" s="4"/>
    </row>
    <row r="235" spans="53:73" x14ac:dyDescent="0.3">
      <c r="BA235" s="4"/>
      <c r="BC235" s="4"/>
      <c r="BD235" s="4"/>
      <c r="BE235" s="4"/>
      <c r="BF235" s="4"/>
      <c r="BH235" s="178" t="s">
        <v>245</v>
      </c>
      <c r="BI235" s="178" t="s">
        <v>246</v>
      </c>
      <c r="BJ235" s="179">
        <v>860</v>
      </c>
      <c r="BK235" s="178" t="s">
        <v>93</v>
      </c>
      <c r="BL235" s="180" t="s">
        <v>320</v>
      </c>
      <c r="BO235" s="53" t="s">
        <v>266</v>
      </c>
      <c r="BP235" s="53" t="s">
        <v>998</v>
      </c>
      <c r="BQ235" s="54">
        <v>44672</v>
      </c>
      <c r="BR235" s="53" t="s">
        <v>95</v>
      </c>
      <c r="BS235" s="53" t="s">
        <v>388</v>
      </c>
      <c r="BT235" s="53" t="s">
        <v>997</v>
      </c>
      <c r="BU235" s="4"/>
    </row>
    <row r="236" spans="53:73" x14ac:dyDescent="0.3">
      <c r="BA236" s="4"/>
      <c r="BC236" s="4"/>
      <c r="BD236" s="4"/>
      <c r="BE236" s="4"/>
      <c r="BF236" s="4"/>
      <c r="BH236" s="178" t="s">
        <v>248</v>
      </c>
      <c r="BI236" s="178" t="s">
        <v>249</v>
      </c>
      <c r="BJ236" s="179">
        <v>862</v>
      </c>
      <c r="BK236" s="178" t="s">
        <v>93</v>
      </c>
      <c r="BL236" s="180" t="s">
        <v>266</v>
      </c>
      <c r="BO236" s="53" t="s">
        <v>335</v>
      </c>
      <c r="BP236" s="53" t="s">
        <v>2048</v>
      </c>
      <c r="BQ236" s="54">
        <v>45265</v>
      </c>
      <c r="BR236" s="53" t="s">
        <v>95</v>
      </c>
      <c r="BS236" s="53" t="s">
        <v>205</v>
      </c>
      <c r="BT236" s="53" t="s">
        <v>2047</v>
      </c>
      <c r="BU236" s="4"/>
    </row>
    <row r="237" spans="53:73" x14ac:dyDescent="0.3">
      <c r="BA237" s="4"/>
      <c r="BC237" s="4"/>
      <c r="BD237" s="4"/>
      <c r="BE237" s="4"/>
      <c r="BF237" s="4"/>
      <c r="BH237" s="178" t="s">
        <v>250</v>
      </c>
      <c r="BI237" s="178" t="s">
        <v>251</v>
      </c>
      <c r="BJ237" s="179">
        <v>869</v>
      </c>
      <c r="BK237" s="178" t="s">
        <v>93</v>
      </c>
      <c r="BL237" s="180" t="s">
        <v>84</v>
      </c>
      <c r="BO237" s="53" t="s">
        <v>335</v>
      </c>
      <c r="BP237" s="53" t="s">
        <v>2145</v>
      </c>
      <c r="BQ237" s="54">
        <v>45314</v>
      </c>
      <c r="BR237" s="53" t="s">
        <v>95</v>
      </c>
      <c r="BS237" s="53" t="s">
        <v>205</v>
      </c>
      <c r="BT237" s="53" t="s">
        <v>2144</v>
      </c>
      <c r="BU237" s="4"/>
    </row>
    <row r="238" spans="53:73" x14ac:dyDescent="0.3">
      <c r="BA238" s="4"/>
      <c r="BC238" s="4"/>
      <c r="BD238" s="4"/>
      <c r="BE238" s="4"/>
      <c r="BF238" s="4"/>
      <c r="BH238" s="178" t="s">
        <v>253</v>
      </c>
      <c r="BI238" s="178" t="s">
        <v>254</v>
      </c>
      <c r="BJ238" s="179">
        <v>266</v>
      </c>
      <c r="BK238" s="178" t="s">
        <v>93</v>
      </c>
      <c r="BL238" s="180" t="s">
        <v>84</v>
      </c>
      <c r="BO238" s="53" t="s">
        <v>335</v>
      </c>
      <c r="BP238" s="53" t="s">
        <v>860</v>
      </c>
      <c r="BQ238" s="54">
        <v>44642</v>
      </c>
      <c r="BR238" s="53" t="s">
        <v>95</v>
      </c>
      <c r="BS238" s="53" t="s">
        <v>205</v>
      </c>
      <c r="BT238" s="53" t="s">
        <v>911</v>
      </c>
      <c r="BU238" s="4"/>
    </row>
    <row r="239" spans="53:73" x14ac:dyDescent="0.3">
      <c r="BA239" s="4"/>
      <c r="BC239" s="4"/>
      <c r="BD239" s="4"/>
      <c r="BE239" s="4"/>
      <c r="BF239" s="4"/>
      <c r="BH239" s="178" t="s">
        <v>255</v>
      </c>
      <c r="BI239" s="178" t="s">
        <v>256</v>
      </c>
      <c r="BJ239" s="179">
        <v>329</v>
      </c>
      <c r="BK239" s="178" t="s">
        <v>93</v>
      </c>
      <c r="BL239" s="180" t="s">
        <v>84</v>
      </c>
      <c r="BO239" s="53" t="s">
        <v>291</v>
      </c>
      <c r="BP239" s="53" t="s">
        <v>979</v>
      </c>
      <c r="BQ239" s="54">
        <v>44656</v>
      </c>
      <c r="BR239" s="53" t="s">
        <v>95</v>
      </c>
      <c r="BS239" s="53" t="s">
        <v>980</v>
      </c>
      <c r="BT239" s="53" t="s">
        <v>978</v>
      </c>
      <c r="BU239" s="4"/>
    </row>
    <row r="240" spans="53:73" x14ac:dyDescent="0.3">
      <c r="BA240" s="4"/>
      <c r="BC240" s="4"/>
      <c r="BD240" s="4"/>
      <c r="BE240" s="4"/>
      <c r="BF240" s="4"/>
      <c r="BH240" s="178" t="s">
        <v>257</v>
      </c>
      <c r="BI240" s="178" t="s">
        <v>258</v>
      </c>
      <c r="BJ240" s="179">
        <v>341</v>
      </c>
      <c r="BK240" s="178" t="s">
        <v>93</v>
      </c>
      <c r="BL240" s="180" t="s">
        <v>84</v>
      </c>
      <c r="BO240" s="53" t="s">
        <v>335</v>
      </c>
      <c r="BP240" s="53" t="s">
        <v>1004</v>
      </c>
      <c r="BQ240" s="54">
        <v>44678</v>
      </c>
      <c r="BR240" s="53" t="s">
        <v>95</v>
      </c>
      <c r="BS240" s="53" t="s">
        <v>414</v>
      </c>
      <c r="BT240" s="53" t="s">
        <v>1003</v>
      </c>
      <c r="BU240" s="4"/>
    </row>
    <row r="241" spans="53:73" x14ac:dyDescent="0.3">
      <c r="BA241" s="4"/>
      <c r="BC241" s="4"/>
      <c r="BD241" s="4"/>
      <c r="BE241" s="4"/>
      <c r="BF241" s="4"/>
      <c r="BH241" s="178" t="s">
        <v>259</v>
      </c>
      <c r="BI241" s="178" t="s">
        <v>260</v>
      </c>
      <c r="BJ241" s="179">
        <v>387</v>
      </c>
      <c r="BK241" s="178" t="s">
        <v>93</v>
      </c>
      <c r="BL241" s="180" t="s">
        <v>84</v>
      </c>
      <c r="BO241" s="53" t="s">
        <v>84</v>
      </c>
      <c r="BP241" s="53" t="s">
        <v>1291</v>
      </c>
      <c r="BQ241" s="54">
        <v>45021</v>
      </c>
      <c r="BR241" s="53" t="s">
        <v>95</v>
      </c>
      <c r="BS241" s="53" t="s">
        <v>330</v>
      </c>
      <c r="BT241" s="53" t="s">
        <v>1290</v>
      </c>
      <c r="BU241" s="4"/>
    </row>
    <row r="242" spans="53:73" x14ac:dyDescent="0.3">
      <c r="BA242" s="4"/>
      <c r="BC242" s="4"/>
      <c r="BD242" s="4"/>
      <c r="BE242" s="4"/>
      <c r="BF242" s="4"/>
      <c r="BH242" s="178" t="s">
        <v>264</v>
      </c>
      <c r="BI242" s="178" t="s">
        <v>265</v>
      </c>
      <c r="BJ242" s="179">
        <v>272</v>
      </c>
      <c r="BK242" s="178" t="s">
        <v>93</v>
      </c>
      <c r="BL242" s="180" t="s">
        <v>266</v>
      </c>
      <c r="BO242" s="53" t="s">
        <v>84</v>
      </c>
      <c r="BP242" s="53" t="s">
        <v>1293</v>
      </c>
      <c r="BQ242" s="54">
        <v>45021</v>
      </c>
      <c r="BR242" s="53" t="s">
        <v>95</v>
      </c>
      <c r="BS242" s="53" t="s">
        <v>330</v>
      </c>
      <c r="BT242" s="53" t="s">
        <v>1292</v>
      </c>
      <c r="BU242" s="4"/>
    </row>
    <row r="243" spans="53:73" x14ac:dyDescent="0.3">
      <c r="BA243" s="4"/>
      <c r="BC243" s="4"/>
      <c r="BD243" s="4"/>
      <c r="BE243" s="4"/>
      <c r="BF243" s="4"/>
      <c r="BH243" s="178" t="s">
        <v>268</v>
      </c>
      <c r="BI243" s="178" t="s">
        <v>269</v>
      </c>
      <c r="BJ243" s="179">
        <v>273</v>
      </c>
      <c r="BK243" s="178" t="s">
        <v>93</v>
      </c>
      <c r="BL243" s="180" t="s">
        <v>266</v>
      </c>
      <c r="BO243" s="53" t="s">
        <v>84</v>
      </c>
      <c r="BP243" s="53" t="s">
        <v>1739</v>
      </c>
      <c r="BQ243" s="54">
        <v>45184</v>
      </c>
      <c r="BR243" s="53" t="s">
        <v>95</v>
      </c>
      <c r="BS243" s="53" t="s">
        <v>330</v>
      </c>
      <c r="BT243" s="53" t="s">
        <v>1738</v>
      </c>
      <c r="BU243" s="4"/>
    </row>
    <row r="244" spans="53:73" x14ac:dyDescent="0.3">
      <c r="BA244" s="4"/>
      <c r="BC244" s="4"/>
      <c r="BD244" s="4"/>
      <c r="BE244" s="4"/>
      <c r="BF244" s="4"/>
      <c r="BH244" s="178" t="s">
        <v>270</v>
      </c>
      <c r="BI244" s="178" t="s">
        <v>271</v>
      </c>
      <c r="BJ244" s="179">
        <v>288</v>
      </c>
      <c r="BK244" s="178" t="s">
        <v>93</v>
      </c>
      <c r="BL244" s="180" t="s">
        <v>266</v>
      </c>
      <c r="BO244" s="53" t="s">
        <v>84</v>
      </c>
      <c r="BP244" s="53" t="s">
        <v>1975</v>
      </c>
      <c r="BQ244" s="54">
        <v>45245</v>
      </c>
      <c r="BR244" s="53" t="s">
        <v>95</v>
      </c>
      <c r="BS244" s="53" t="s">
        <v>330</v>
      </c>
      <c r="BT244" s="53" t="s">
        <v>1974</v>
      </c>
      <c r="BU244" s="4"/>
    </row>
    <row r="245" spans="53:73" x14ac:dyDescent="0.3">
      <c r="BA245" s="4"/>
      <c r="BC245" s="4"/>
      <c r="BD245" s="4"/>
      <c r="BE245" s="4"/>
      <c r="BF245" s="4"/>
      <c r="BH245" s="178" t="s">
        <v>275</v>
      </c>
      <c r="BI245" s="178" t="s">
        <v>276</v>
      </c>
      <c r="BJ245" s="179">
        <v>333</v>
      </c>
      <c r="BK245" s="178" t="s">
        <v>93</v>
      </c>
      <c r="BL245" s="180" t="s">
        <v>266</v>
      </c>
      <c r="BO245" s="53" t="s">
        <v>84</v>
      </c>
      <c r="BP245" s="53" t="s">
        <v>1117</v>
      </c>
      <c r="BQ245" s="54">
        <v>44685</v>
      </c>
      <c r="BR245" s="53" t="s">
        <v>95</v>
      </c>
      <c r="BS245" s="53" t="s">
        <v>330</v>
      </c>
      <c r="BT245" s="53" t="s">
        <v>1116</v>
      </c>
      <c r="BU245" s="4"/>
    </row>
    <row r="246" spans="53:73" x14ac:dyDescent="0.3">
      <c r="BA246" s="4"/>
      <c r="BC246" s="4"/>
      <c r="BD246" s="4"/>
      <c r="BE246" s="4"/>
      <c r="BF246" s="4"/>
      <c r="BH246" s="184" t="s">
        <v>278</v>
      </c>
      <c r="BI246" s="184" t="s">
        <v>279</v>
      </c>
      <c r="BJ246" s="185">
        <v>351</v>
      </c>
      <c r="BK246" s="184" t="s">
        <v>93</v>
      </c>
      <c r="BL246" s="186" t="s">
        <v>266</v>
      </c>
      <c r="BO246" s="53" t="s">
        <v>114</v>
      </c>
      <c r="BP246" s="53" t="s">
        <v>1130</v>
      </c>
      <c r="BQ246" s="54">
        <v>44718</v>
      </c>
      <c r="BR246" s="53" t="s">
        <v>95</v>
      </c>
      <c r="BS246" s="53" t="s">
        <v>1131</v>
      </c>
      <c r="BT246" s="53" t="s">
        <v>1129</v>
      </c>
      <c r="BU246" s="4"/>
    </row>
    <row r="247" spans="53:73" x14ac:dyDescent="0.3">
      <c r="BA247" s="4"/>
      <c r="BC247" s="4"/>
      <c r="BD247" s="4"/>
      <c r="BE247" s="4"/>
      <c r="BF247" s="4"/>
      <c r="BH247" s="184" t="s">
        <v>281</v>
      </c>
      <c r="BI247" s="184" t="s">
        <v>282</v>
      </c>
      <c r="BJ247" s="185">
        <v>352</v>
      </c>
      <c r="BK247" s="184" t="s">
        <v>93</v>
      </c>
      <c r="BL247" s="186" t="s">
        <v>291</v>
      </c>
      <c r="BO247" s="53" t="s">
        <v>114</v>
      </c>
      <c r="BP247" s="53" t="s">
        <v>1133</v>
      </c>
      <c r="BQ247" s="54">
        <v>44694</v>
      </c>
      <c r="BR247" s="53" t="s">
        <v>95</v>
      </c>
      <c r="BS247" s="53" t="s">
        <v>1131</v>
      </c>
      <c r="BT247" s="53" t="s">
        <v>1132</v>
      </c>
      <c r="BU247" s="4"/>
    </row>
    <row r="248" spans="53:73" x14ac:dyDescent="0.3">
      <c r="BA248" s="4"/>
      <c r="BC248" s="4"/>
      <c r="BD248" s="4"/>
      <c r="BE248" s="4"/>
      <c r="BF248" s="4"/>
      <c r="BH248" s="184" t="s">
        <v>285</v>
      </c>
      <c r="BI248" s="184" t="s">
        <v>286</v>
      </c>
      <c r="BJ248" s="185">
        <v>386</v>
      </c>
      <c r="BK248" s="184" t="s">
        <v>93</v>
      </c>
      <c r="BL248" s="186" t="s">
        <v>291</v>
      </c>
      <c r="BO248" s="53" t="s">
        <v>94</v>
      </c>
      <c r="BP248" s="53" t="s">
        <v>1392</v>
      </c>
      <c r="BQ248" s="54">
        <v>44950</v>
      </c>
      <c r="BR248" s="53" t="s">
        <v>95</v>
      </c>
      <c r="BS248" s="53" t="s">
        <v>1090</v>
      </c>
      <c r="BT248" s="53" t="s">
        <v>1391</v>
      </c>
      <c r="BU248" s="4"/>
    </row>
    <row r="249" spans="53:73" x14ac:dyDescent="0.3">
      <c r="BA249" s="4"/>
      <c r="BC249" s="4"/>
      <c r="BD249" s="4"/>
      <c r="BE249" s="4"/>
      <c r="BF249" s="4"/>
      <c r="BH249" s="184" t="s">
        <v>289</v>
      </c>
      <c r="BI249" s="184" t="s">
        <v>290</v>
      </c>
      <c r="BJ249" s="185">
        <v>270</v>
      </c>
      <c r="BK249" s="184" t="s">
        <v>93</v>
      </c>
      <c r="BL249" s="186" t="s">
        <v>291</v>
      </c>
      <c r="BO249" s="53" t="s">
        <v>94</v>
      </c>
      <c r="BP249" s="53" t="s">
        <v>1238</v>
      </c>
      <c r="BQ249" s="54">
        <v>44700</v>
      </c>
      <c r="BR249" s="53" t="s">
        <v>95</v>
      </c>
      <c r="BS249" s="53" t="s">
        <v>1090</v>
      </c>
      <c r="BT249" s="53" t="s">
        <v>1237</v>
      </c>
      <c r="BU249" s="4"/>
    </row>
    <row r="250" spans="53:73" x14ac:dyDescent="0.3">
      <c r="BA250" s="4"/>
      <c r="BC250" s="4"/>
      <c r="BD250" s="4"/>
      <c r="BE250" s="4"/>
      <c r="BF250" s="4"/>
      <c r="BH250" s="184" t="s">
        <v>295</v>
      </c>
      <c r="BI250" s="184" t="s">
        <v>296</v>
      </c>
      <c r="BJ250" s="185">
        <v>283</v>
      </c>
      <c r="BK250" s="184" t="s">
        <v>93</v>
      </c>
      <c r="BL250" s="186" t="s">
        <v>291</v>
      </c>
      <c r="BO250" s="53" t="s">
        <v>94</v>
      </c>
      <c r="BP250" s="53" t="s">
        <v>1239</v>
      </c>
      <c r="BQ250" s="54">
        <v>45209</v>
      </c>
      <c r="BR250" s="53" t="s">
        <v>95</v>
      </c>
      <c r="BS250" s="53" t="s">
        <v>409</v>
      </c>
      <c r="BT250" s="53" t="s">
        <v>1885</v>
      </c>
      <c r="BU250" s="4"/>
    </row>
    <row r="251" spans="53:73" x14ac:dyDescent="0.3">
      <c r="BA251" s="4"/>
      <c r="BC251" s="4"/>
      <c r="BD251" s="4"/>
      <c r="BE251" s="4"/>
      <c r="BF251" s="4"/>
      <c r="BH251" s="184" t="s">
        <v>297</v>
      </c>
      <c r="BI251" s="184" t="s">
        <v>298</v>
      </c>
      <c r="BJ251" s="185">
        <v>356</v>
      </c>
      <c r="BK251" s="184" t="s">
        <v>93</v>
      </c>
      <c r="BL251" s="186" t="s">
        <v>84</v>
      </c>
      <c r="BO251" s="53" t="s">
        <v>114</v>
      </c>
      <c r="BP251" s="53" t="s">
        <v>1135</v>
      </c>
      <c r="BQ251" s="54">
        <v>44706</v>
      </c>
      <c r="BR251" s="53" t="s">
        <v>95</v>
      </c>
      <c r="BS251" s="53" t="s">
        <v>1971</v>
      </c>
      <c r="BT251" s="53" t="s">
        <v>1134</v>
      </c>
      <c r="BU251" s="4"/>
    </row>
    <row r="252" spans="53:73" x14ac:dyDescent="0.3">
      <c r="BA252" s="4"/>
      <c r="BC252" s="4"/>
      <c r="BD252" s="4"/>
      <c r="BE252" s="4"/>
      <c r="BF252" s="4"/>
      <c r="BH252" s="62" t="s">
        <v>301</v>
      </c>
      <c r="BI252" s="62" t="s">
        <v>302</v>
      </c>
      <c r="BJ252" s="63">
        <v>363</v>
      </c>
      <c r="BK252" s="62" t="s">
        <v>93</v>
      </c>
      <c r="BL252" s="64" t="s">
        <v>291</v>
      </c>
      <c r="BO252" s="53" t="s">
        <v>266</v>
      </c>
      <c r="BP252" s="53" t="s">
        <v>1353</v>
      </c>
      <c r="BQ252" s="54">
        <v>44718</v>
      </c>
      <c r="BR252" s="53" t="s">
        <v>95</v>
      </c>
      <c r="BS252" s="53" t="s">
        <v>341</v>
      </c>
      <c r="BT252" s="53" t="s">
        <v>1200</v>
      </c>
      <c r="BU252" s="4"/>
    </row>
    <row r="253" spans="53:73" x14ac:dyDescent="0.3">
      <c r="BA253" s="4"/>
      <c r="BC253" s="4"/>
      <c r="BD253" s="4"/>
      <c r="BE253" s="4"/>
      <c r="BF253" s="4"/>
      <c r="BH253" s="62" t="s">
        <v>303</v>
      </c>
      <c r="BI253" s="62" t="s">
        <v>304</v>
      </c>
      <c r="BJ253" s="63">
        <v>371</v>
      </c>
      <c r="BK253" s="62" t="s">
        <v>93</v>
      </c>
      <c r="BL253" s="64" t="s">
        <v>305</v>
      </c>
      <c r="BO253" s="53" t="s">
        <v>84</v>
      </c>
      <c r="BP253" s="53" t="s">
        <v>1953</v>
      </c>
      <c r="BQ253" s="54">
        <v>45237</v>
      </c>
      <c r="BR253" s="53" t="s">
        <v>95</v>
      </c>
      <c r="BS253" s="53" t="s">
        <v>1954</v>
      </c>
      <c r="BT253" s="53" t="s">
        <v>1952</v>
      </c>
      <c r="BU253" s="4"/>
    </row>
    <row r="254" spans="53:73" x14ac:dyDescent="0.3">
      <c r="BA254" s="4"/>
      <c r="BC254" s="4"/>
      <c r="BD254" s="4"/>
      <c r="BE254" s="4"/>
      <c r="BF254" s="4"/>
      <c r="BH254" s="184" t="s">
        <v>306</v>
      </c>
      <c r="BI254" s="184" t="s">
        <v>307</v>
      </c>
      <c r="BJ254" s="185">
        <v>375</v>
      </c>
      <c r="BK254" s="184" t="s">
        <v>93</v>
      </c>
      <c r="BL254" s="186" t="s">
        <v>305</v>
      </c>
      <c r="BO254" s="53" t="s">
        <v>335</v>
      </c>
      <c r="BP254" s="53" t="s">
        <v>1093</v>
      </c>
      <c r="BQ254" s="54">
        <v>44734</v>
      </c>
      <c r="BR254" s="53" t="s">
        <v>95</v>
      </c>
      <c r="BS254" s="53" t="s">
        <v>205</v>
      </c>
      <c r="BT254" s="53" t="s">
        <v>1092</v>
      </c>
      <c r="BU254" s="4"/>
    </row>
    <row r="255" spans="53:73" x14ac:dyDescent="0.3">
      <c r="BA255" s="4"/>
      <c r="BC255" s="4"/>
      <c r="BD255" s="4"/>
      <c r="BE255" s="4"/>
      <c r="BF255" s="4"/>
      <c r="BH255" s="184" t="s">
        <v>308</v>
      </c>
      <c r="BI255" s="184" t="s">
        <v>309</v>
      </c>
      <c r="BJ255" s="185">
        <v>376</v>
      </c>
      <c r="BK255" s="184" t="s">
        <v>93</v>
      </c>
      <c r="BL255" s="186" t="s">
        <v>305</v>
      </c>
      <c r="BO255" s="53" t="s">
        <v>84</v>
      </c>
      <c r="BP255" s="53" t="s">
        <v>1945</v>
      </c>
      <c r="BQ255" s="54">
        <v>45236</v>
      </c>
      <c r="BR255" s="53" t="s">
        <v>95</v>
      </c>
      <c r="BS255" s="53" t="s">
        <v>1113</v>
      </c>
      <c r="BT255" s="53" t="s">
        <v>1944</v>
      </c>
      <c r="BU255" s="4"/>
    </row>
    <row r="256" spans="53:73" x14ac:dyDescent="0.3">
      <c r="BA256" s="4"/>
      <c r="BC256" s="4"/>
      <c r="BD256" s="4"/>
      <c r="BE256" s="4"/>
      <c r="BF256" s="4"/>
      <c r="BH256" s="184" t="s">
        <v>310</v>
      </c>
      <c r="BI256" s="184" t="s">
        <v>311</v>
      </c>
      <c r="BJ256" s="185">
        <v>18</v>
      </c>
      <c r="BK256" s="184" t="s">
        <v>93</v>
      </c>
      <c r="BL256" s="186" t="s">
        <v>305</v>
      </c>
      <c r="BO256" s="53" t="s">
        <v>84</v>
      </c>
      <c r="BP256" s="53" t="s">
        <v>1119</v>
      </c>
      <c r="BQ256" s="54">
        <v>44742</v>
      </c>
      <c r="BR256" s="53" t="s">
        <v>95</v>
      </c>
      <c r="BS256" s="53" t="s">
        <v>403</v>
      </c>
      <c r="BT256" s="53" t="s">
        <v>1118</v>
      </c>
      <c r="BU256" s="4"/>
    </row>
    <row r="257" spans="53:73" x14ac:dyDescent="0.3">
      <c r="BA257" s="4"/>
      <c r="BC257" s="4"/>
      <c r="BD257" s="4"/>
      <c r="BE257" s="4"/>
      <c r="BF257" s="4"/>
      <c r="BH257" s="184" t="s">
        <v>313</v>
      </c>
      <c r="BI257" s="184" t="s">
        <v>314</v>
      </c>
      <c r="BJ257" s="185">
        <v>75</v>
      </c>
      <c r="BK257" s="184" t="s">
        <v>193</v>
      </c>
      <c r="BL257" s="186" t="s">
        <v>312</v>
      </c>
      <c r="BO257" s="53" t="s">
        <v>266</v>
      </c>
      <c r="BP257" s="53" t="s">
        <v>1874</v>
      </c>
      <c r="BQ257" s="54">
        <v>44746</v>
      </c>
      <c r="BR257" s="53" t="s">
        <v>95</v>
      </c>
      <c r="BS257" s="53" t="s">
        <v>1202</v>
      </c>
      <c r="BT257" s="53" t="s">
        <v>1201</v>
      </c>
      <c r="BU257" s="4"/>
    </row>
    <row r="258" spans="53:73" x14ac:dyDescent="0.3">
      <c r="BA258" s="4"/>
      <c r="BC258" s="4"/>
      <c r="BD258" s="4"/>
      <c r="BE258" s="4"/>
      <c r="BF258" s="4"/>
      <c r="BH258" s="191" t="s">
        <v>316</v>
      </c>
      <c r="BI258" s="191" t="s">
        <v>317</v>
      </c>
      <c r="BJ258" s="192">
        <v>220</v>
      </c>
      <c r="BK258" s="191" t="s">
        <v>93</v>
      </c>
      <c r="BL258" s="193" t="s">
        <v>84</v>
      </c>
      <c r="BO258" s="53" t="s">
        <v>135</v>
      </c>
      <c r="BP258" s="53" t="s">
        <v>1101</v>
      </c>
      <c r="BQ258" s="54">
        <v>44756</v>
      </c>
      <c r="BR258" s="53" t="s">
        <v>95</v>
      </c>
      <c r="BS258" s="53" t="s">
        <v>912</v>
      </c>
      <c r="BT258" s="53" t="s">
        <v>1100</v>
      </c>
      <c r="BU258" s="4"/>
    </row>
    <row r="259" spans="53:73" x14ac:dyDescent="0.3">
      <c r="BA259" s="4"/>
      <c r="BC259" s="4"/>
      <c r="BD259" s="4"/>
      <c r="BE259" s="4"/>
      <c r="BF259" s="4"/>
      <c r="BH259" s="191" t="s">
        <v>318</v>
      </c>
      <c r="BI259" s="191" t="s">
        <v>319</v>
      </c>
      <c r="BJ259" s="192">
        <v>263</v>
      </c>
      <c r="BK259" s="191" t="s">
        <v>93</v>
      </c>
      <c r="BL259" s="193" t="s">
        <v>266</v>
      </c>
      <c r="BO259" s="53" t="s">
        <v>135</v>
      </c>
      <c r="BP259" s="53" t="s">
        <v>1103</v>
      </c>
      <c r="BQ259" s="54">
        <v>44762</v>
      </c>
      <c r="BR259" s="53" t="s">
        <v>95</v>
      </c>
      <c r="BS259" s="53" t="s">
        <v>1104</v>
      </c>
      <c r="BT259" s="53" t="s">
        <v>1102</v>
      </c>
      <c r="BU259" s="4"/>
    </row>
    <row r="260" spans="53:73" x14ac:dyDescent="0.3">
      <c r="BA260" s="4"/>
      <c r="BC260" s="4"/>
      <c r="BD260" s="4"/>
      <c r="BE260" s="4"/>
      <c r="BF260" s="4"/>
      <c r="BH260" s="195" t="s">
        <v>322</v>
      </c>
      <c r="BI260" s="195" t="s">
        <v>323</v>
      </c>
      <c r="BJ260" s="196">
        <v>271</v>
      </c>
      <c r="BK260" s="195" t="s">
        <v>93</v>
      </c>
      <c r="BL260" s="197" t="s">
        <v>320</v>
      </c>
      <c r="BO260" s="53" t="s">
        <v>135</v>
      </c>
      <c r="BP260" s="53" t="s">
        <v>1487</v>
      </c>
      <c r="BQ260" s="54">
        <v>45090</v>
      </c>
      <c r="BR260" s="53" t="s">
        <v>95</v>
      </c>
      <c r="BS260" s="53" t="s">
        <v>1488</v>
      </c>
      <c r="BT260" s="53" t="s">
        <v>1486</v>
      </c>
      <c r="BU260" s="4"/>
    </row>
    <row r="261" spans="53:73" x14ac:dyDescent="0.3">
      <c r="BA261" s="4"/>
      <c r="BC261" s="4"/>
      <c r="BD261" s="4"/>
      <c r="BE261" s="4"/>
      <c r="BF261" s="4"/>
      <c r="BH261" s="198" t="s">
        <v>324</v>
      </c>
      <c r="BI261" s="198" t="s">
        <v>325</v>
      </c>
      <c r="BJ261" s="199">
        <v>359</v>
      </c>
      <c r="BK261" s="198" t="s">
        <v>93</v>
      </c>
      <c r="BL261" s="200" t="s">
        <v>320</v>
      </c>
      <c r="BO261" s="53" t="s">
        <v>135</v>
      </c>
      <c r="BP261" s="53" t="s">
        <v>1106</v>
      </c>
      <c r="BQ261" s="54">
        <v>44762</v>
      </c>
      <c r="BR261" s="53" t="s">
        <v>95</v>
      </c>
      <c r="BS261" s="53" t="s">
        <v>1104</v>
      </c>
      <c r="BT261" s="53" t="s">
        <v>1105</v>
      </c>
      <c r="BU261" s="4"/>
    </row>
    <row r="262" spans="53:73" x14ac:dyDescent="0.3">
      <c r="BA262" s="4"/>
      <c r="BC262" s="4"/>
      <c r="BD262" s="4"/>
      <c r="BE262" s="4"/>
      <c r="BF262" s="4"/>
      <c r="BH262" s="198" t="s">
        <v>326</v>
      </c>
      <c r="BI262" s="198" t="s">
        <v>327</v>
      </c>
      <c r="BJ262" s="199">
        <v>362</v>
      </c>
      <c r="BK262" s="198" t="s">
        <v>93</v>
      </c>
      <c r="BL262" s="200" t="s">
        <v>320</v>
      </c>
      <c r="BO262" s="53" t="s">
        <v>266</v>
      </c>
      <c r="BP262" s="53" t="s">
        <v>1565</v>
      </c>
      <c r="BQ262" s="54">
        <v>44763</v>
      </c>
      <c r="BR262" s="53" t="s">
        <v>95</v>
      </c>
      <c r="BS262" s="53" t="s">
        <v>363</v>
      </c>
      <c r="BT262" s="53" t="s">
        <v>1203</v>
      </c>
      <c r="BU262" s="4"/>
    </row>
    <row r="263" spans="53:73" x14ac:dyDescent="0.3">
      <c r="BA263" s="4"/>
      <c r="BC263" s="4"/>
      <c r="BD263" s="4"/>
      <c r="BE263" s="4"/>
      <c r="BF263" s="4"/>
      <c r="BH263" s="198" t="s">
        <v>906</v>
      </c>
      <c r="BI263" s="198" t="s">
        <v>907</v>
      </c>
      <c r="BJ263" s="199">
        <v>403</v>
      </c>
      <c r="BK263" s="198" t="s">
        <v>93</v>
      </c>
      <c r="BL263" s="200" t="s">
        <v>266</v>
      </c>
      <c r="BO263" s="53" t="s">
        <v>335</v>
      </c>
      <c r="BP263" s="53" t="s">
        <v>1095</v>
      </c>
      <c r="BQ263" s="54">
        <v>44767</v>
      </c>
      <c r="BR263" s="53" t="s">
        <v>95</v>
      </c>
      <c r="BS263" s="53" t="s">
        <v>346</v>
      </c>
      <c r="BT263" s="53" t="s">
        <v>1094</v>
      </c>
      <c r="BU263" s="4"/>
    </row>
    <row r="264" spans="53:73" x14ac:dyDescent="0.3">
      <c r="BA264" s="4"/>
      <c r="BC264" s="4"/>
      <c r="BD264" s="4"/>
      <c r="BE264" s="4"/>
      <c r="BF264" s="4"/>
      <c r="BH264" s="198" t="s">
        <v>1084</v>
      </c>
      <c r="BI264" s="198" t="s">
        <v>1085</v>
      </c>
      <c r="BJ264" s="199">
        <v>437</v>
      </c>
      <c r="BK264" s="198" t="s">
        <v>93</v>
      </c>
      <c r="BL264" s="200" t="s">
        <v>194</v>
      </c>
      <c r="BO264" s="53" t="s">
        <v>291</v>
      </c>
      <c r="BP264" s="53" t="s">
        <v>1220</v>
      </c>
      <c r="BQ264" s="54">
        <v>44775</v>
      </c>
      <c r="BR264" s="53" t="s">
        <v>95</v>
      </c>
      <c r="BS264" s="53" t="s">
        <v>1218</v>
      </c>
      <c r="BT264" s="53" t="s">
        <v>1219</v>
      </c>
      <c r="BU264" s="4"/>
    </row>
    <row r="265" spans="53:73" x14ac:dyDescent="0.3">
      <c r="BA265" s="4"/>
      <c r="BC265" s="4"/>
      <c r="BD265" s="4"/>
      <c r="BE265" s="4"/>
      <c r="BF265" s="4"/>
      <c r="BH265" s="198" t="s">
        <v>1086</v>
      </c>
      <c r="BI265" s="198" t="s">
        <v>1087</v>
      </c>
      <c r="BJ265" s="199">
        <v>438</v>
      </c>
      <c r="BK265" s="198" t="s">
        <v>93</v>
      </c>
      <c r="BL265" s="200" t="s">
        <v>84</v>
      </c>
      <c r="BO265" s="53" t="s">
        <v>114</v>
      </c>
      <c r="BP265" s="53" t="s">
        <v>1137</v>
      </c>
      <c r="BQ265" s="54">
        <v>44781</v>
      </c>
      <c r="BR265" s="53" t="s">
        <v>95</v>
      </c>
      <c r="BS265" s="53" t="s">
        <v>1138</v>
      </c>
      <c r="BT265" s="53" t="s">
        <v>1136</v>
      </c>
      <c r="BU265" s="4"/>
    </row>
    <row r="266" spans="53:73" x14ac:dyDescent="0.3">
      <c r="BA266" s="4"/>
      <c r="BC266" s="4"/>
      <c r="BD266" s="4"/>
      <c r="BE266" s="4"/>
      <c r="BF266" s="4"/>
      <c r="BH266" s="198" t="s">
        <v>1554</v>
      </c>
      <c r="BI266" s="198" t="s">
        <v>1555</v>
      </c>
      <c r="BJ266" s="199">
        <v>451</v>
      </c>
      <c r="BK266" s="198" t="s">
        <v>93</v>
      </c>
      <c r="BL266" s="200" t="s">
        <v>220</v>
      </c>
      <c r="BO266" s="53" t="s">
        <v>84</v>
      </c>
      <c r="BP266" s="53" t="s">
        <v>1120</v>
      </c>
      <c r="BQ266" s="54">
        <v>45051</v>
      </c>
      <c r="BR266" s="53" t="s">
        <v>95</v>
      </c>
      <c r="BS266" s="53" t="s">
        <v>329</v>
      </c>
      <c r="BT266" s="53" t="s">
        <v>1442</v>
      </c>
      <c r="BU266" s="4"/>
    </row>
    <row r="267" spans="53:73" x14ac:dyDescent="0.3">
      <c r="BA267" s="4"/>
      <c r="BC267" s="4"/>
      <c r="BD267" s="4"/>
      <c r="BE267" s="4"/>
      <c r="BF267" s="4"/>
      <c r="BH267" s="62"/>
      <c r="BI267" s="62"/>
      <c r="BJ267" s="63"/>
      <c r="BK267" s="62"/>
      <c r="BL267" s="64"/>
      <c r="BO267" s="53" t="s">
        <v>84</v>
      </c>
      <c r="BP267" s="53" t="s">
        <v>1119</v>
      </c>
      <c r="BQ267" s="54">
        <v>44783</v>
      </c>
      <c r="BR267" s="53" t="s">
        <v>95</v>
      </c>
      <c r="BS267" s="53" t="s">
        <v>403</v>
      </c>
      <c r="BT267" s="53" t="s">
        <v>1121</v>
      </c>
      <c r="BU267" s="4"/>
    </row>
    <row r="268" spans="53:73" x14ac:dyDescent="0.3">
      <c r="BA268" s="4"/>
      <c r="BC268" s="4"/>
      <c r="BD268" s="4"/>
      <c r="BE268" s="4"/>
      <c r="BF268" s="4"/>
      <c r="BH268" s="62"/>
      <c r="BI268" s="62"/>
      <c r="BJ268" s="63"/>
      <c r="BK268" s="62"/>
      <c r="BL268" s="64"/>
      <c r="BO268" s="53" t="s">
        <v>266</v>
      </c>
      <c r="BP268" s="53" t="s">
        <v>1566</v>
      </c>
      <c r="BQ268" s="54">
        <v>44790</v>
      </c>
      <c r="BR268" s="53" t="s">
        <v>95</v>
      </c>
      <c r="BS268" s="53" t="s">
        <v>363</v>
      </c>
      <c r="BT268" s="53" t="s">
        <v>1204</v>
      </c>
      <c r="BU268" s="4"/>
    </row>
    <row r="269" spans="53:73" x14ac:dyDescent="0.3">
      <c r="BA269" s="4"/>
      <c r="BC269" s="4"/>
      <c r="BD269" s="4"/>
      <c r="BE269" s="4"/>
      <c r="BF269" s="4"/>
      <c r="BH269" s="62"/>
      <c r="BI269" s="62"/>
      <c r="BJ269" s="63"/>
      <c r="BK269" s="62"/>
      <c r="BL269" s="64"/>
      <c r="BO269" s="53" t="s">
        <v>114</v>
      </c>
      <c r="BP269" s="53" t="s">
        <v>1743</v>
      </c>
      <c r="BQ269" s="54">
        <v>44805</v>
      </c>
      <c r="BR269" s="53" t="s">
        <v>95</v>
      </c>
      <c r="BS269" s="53" t="s">
        <v>1138</v>
      </c>
      <c r="BT269" s="53" t="s">
        <v>1139</v>
      </c>
      <c r="BU269" s="4"/>
    </row>
    <row r="270" spans="53:73" x14ac:dyDescent="0.3">
      <c r="BA270" s="4"/>
      <c r="BC270" s="4"/>
      <c r="BD270" s="4"/>
      <c r="BE270" s="4"/>
      <c r="BF270" s="4"/>
      <c r="BH270" s="62"/>
      <c r="BI270" s="62"/>
      <c r="BJ270" s="63"/>
      <c r="BK270" s="62"/>
      <c r="BL270" s="64"/>
      <c r="BO270" s="53" t="s">
        <v>266</v>
      </c>
      <c r="BP270" s="53" t="s">
        <v>1206</v>
      </c>
      <c r="BQ270" s="54">
        <v>44811</v>
      </c>
      <c r="BR270" s="53" t="s">
        <v>95</v>
      </c>
      <c r="BS270" s="53" t="s">
        <v>391</v>
      </c>
      <c r="BT270" s="53" t="s">
        <v>1205</v>
      </c>
      <c r="BU270" s="4"/>
    </row>
    <row r="271" spans="53:73" x14ac:dyDescent="0.3">
      <c r="BA271" s="4"/>
      <c r="BC271" s="4"/>
      <c r="BD271" s="4"/>
      <c r="BE271" s="4"/>
      <c r="BF271" s="4"/>
      <c r="BH271" s="62"/>
      <c r="BI271" s="62"/>
      <c r="BJ271" s="63"/>
      <c r="BK271" s="62"/>
      <c r="BL271" s="64"/>
      <c r="BO271" s="53" t="s">
        <v>114</v>
      </c>
      <c r="BP271" s="53" t="s">
        <v>1304</v>
      </c>
      <c r="BQ271" s="54">
        <v>44831</v>
      </c>
      <c r="BR271" s="53" t="s">
        <v>95</v>
      </c>
      <c r="BS271" s="53" t="s">
        <v>170</v>
      </c>
      <c r="BT271" s="53" t="s">
        <v>1140</v>
      </c>
      <c r="BU271" s="4"/>
    </row>
    <row r="272" spans="53:73" x14ac:dyDescent="0.3">
      <c r="BA272" s="4"/>
      <c r="BC272" s="4"/>
      <c r="BD272" s="4"/>
      <c r="BE272" s="4"/>
      <c r="BF272" s="4"/>
      <c r="BH272" s="62"/>
      <c r="BI272" s="62"/>
      <c r="BJ272" s="63"/>
      <c r="BK272" s="62"/>
      <c r="BL272" s="64"/>
      <c r="BO272" s="53" t="s">
        <v>335</v>
      </c>
      <c r="BP272" s="53" t="s">
        <v>1097</v>
      </c>
      <c r="BQ272" s="54">
        <v>44837</v>
      </c>
      <c r="BR272" s="53" t="s">
        <v>95</v>
      </c>
      <c r="BS272" s="53" t="s">
        <v>1098</v>
      </c>
      <c r="BT272" s="53" t="s">
        <v>1096</v>
      </c>
      <c r="BU272" s="4"/>
    </row>
    <row r="273" spans="53:73" x14ac:dyDescent="0.3">
      <c r="BA273" s="4"/>
      <c r="BC273" s="4"/>
      <c r="BD273" s="4"/>
      <c r="BE273" s="4"/>
      <c r="BF273" s="4"/>
      <c r="BH273" s="62"/>
      <c r="BI273" s="62"/>
      <c r="BJ273" s="63"/>
      <c r="BK273" s="62"/>
      <c r="BL273" s="64"/>
      <c r="BO273" s="53" t="s">
        <v>94</v>
      </c>
      <c r="BP273" s="53" t="s">
        <v>1685</v>
      </c>
      <c r="BQ273" s="54">
        <v>45131</v>
      </c>
      <c r="BR273" s="53" t="s">
        <v>95</v>
      </c>
      <c r="BS273" s="53" t="s">
        <v>115</v>
      </c>
      <c r="BT273" s="53" t="s">
        <v>1684</v>
      </c>
      <c r="BU273" s="4"/>
    </row>
    <row r="274" spans="53:73" x14ac:dyDescent="0.3">
      <c r="BA274" s="4"/>
      <c r="BC274" s="4"/>
      <c r="BD274" s="4"/>
      <c r="BE274" s="4"/>
      <c r="BF274" s="4"/>
      <c r="BH274" s="62"/>
      <c r="BI274" s="62"/>
      <c r="BJ274" s="63"/>
      <c r="BK274" s="62"/>
      <c r="BL274" s="64"/>
      <c r="BO274" s="53" t="s">
        <v>114</v>
      </c>
      <c r="BP274" s="53" t="s">
        <v>1508</v>
      </c>
      <c r="BQ274" s="54">
        <v>45091</v>
      </c>
      <c r="BR274" s="53" t="s">
        <v>95</v>
      </c>
      <c r="BS274" s="53" t="s">
        <v>205</v>
      </c>
      <c r="BT274" s="53" t="s">
        <v>1507</v>
      </c>
      <c r="BU274" s="4"/>
    </row>
    <row r="275" spans="53:73" x14ac:dyDescent="0.3">
      <c r="BA275" s="4"/>
      <c r="BC275" s="4"/>
      <c r="BD275" s="4"/>
      <c r="BE275" s="4"/>
      <c r="BF275" s="4"/>
      <c r="BH275" s="62"/>
      <c r="BI275" s="62"/>
      <c r="BJ275" s="63"/>
      <c r="BK275" s="62"/>
      <c r="BL275" s="64"/>
      <c r="BO275" s="53" t="s">
        <v>266</v>
      </c>
      <c r="BP275" s="53" t="s">
        <v>1354</v>
      </c>
      <c r="BQ275" s="54">
        <v>44875</v>
      </c>
      <c r="BR275" s="53" t="s">
        <v>95</v>
      </c>
      <c r="BS275" s="53" t="s">
        <v>388</v>
      </c>
      <c r="BT275" s="53" t="s">
        <v>1207</v>
      </c>
      <c r="BU275" s="4"/>
    </row>
    <row r="276" spans="53:73" x14ac:dyDescent="0.3">
      <c r="BA276" s="4"/>
      <c r="BC276" s="4"/>
      <c r="BD276" s="4"/>
      <c r="BE276" s="4"/>
      <c r="BF276" s="4"/>
      <c r="BH276" s="62"/>
      <c r="BI276" s="62"/>
      <c r="BJ276" s="63"/>
      <c r="BK276" s="62"/>
      <c r="BL276" s="64"/>
      <c r="BO276" s="53" t="s">
        <v>291</v>
      </c>
      <c r="BP276" s="53" t="s">
        <v>1222</v>
      </c>
      <c r="BQ276" s="54">
        <v>44880</v>
      </c>
      <c r="BR276" s="53" t="s">
        <v>95</v>
      </c>
      <c r="BS276" s="53" t="s">
        <v>980</v>
      </c>
      <c r="BT276" s="53" t="s">
        <v>1221</v>
      </c>
      <c r="BU276" s="4"/>
    </row>
    <row r="277" spans="53:73" x14ac:dyDescent="0.3">
      <c r="BA277" s="4"/>
      <c r="BC277" s="4"/>
      <c r="BD277" s="4"/>
      <c r="BE277" s="4"/>
      <c r="BF277" s="4"/>
      <c r="BH277" s="62"/>
      <c r="BI277" s="62"/>
      <c r="BJ277" s="63"/>
      <c r="BK277" s="62"/>
      <c r="BL277" s="64"/>
      <c r="BO277" s="53" t="s">
        <v>291</v>
      </c>
      <c r="BP277" s="53" t="s">
        <v>1224</v>
      </c>
      <c r="BQ277" s="54">
        <v>44882</v>
      </c>
      <c r="BR277" s="53" t="s">
        <v>95</v>
      </c>
      <c r="BS277" s="53" t="s">
        <v>1218</v>
      </c>
      <c r="BT277" s="53" t="s">
        <v>1223</v>
      </c>
      <c r="BU277" s="4"/>
    </row>
    <row r="278" spans="53:73" x14ac:dyDescent="0.3">
      <c r="BA278" s="4"/>
      <c r="BC278" s="4"/>
      <c r="BD278" s="4"/>
      <c r="BE278" s="4"/>
      <c r="BF278" s="4"/>
      <c r="BO278" s="53" t="s">
        <v>114</v>
      </c>
      <c r="BP278" s="53" t="s">
        <v>1305</v>
      </c>
      <c r="BQ278" s="54">
        <v>44882</v>
      </c>
      <c r="BR278" s="53" t="s">
        <v>95</v>
      </c>
      <c r="BS278" s="53" t="s">
        <v>107</v>
      </c>
      <c r="BT278" s="53" t="s">
        <v>1141</v>
      </c>
      <c r="BU278" s="4"/>
    </row>
    <row r="279" spans="53:73" x14ac:dyDescent="0.3">
      <c r="BA279" s="4"/>
      <c r="BC279" s="4"/>
      <c r="BD279" s="4"/>
      <c r="BE279" s="4"/>
      <c r="BF279" s="4"/>
      <c r="BO279" s="53" t="s">
        <v>266</v>
      </c>
      <c r="BP279" s="53" t="s">
        <v>1209</v>
      </c>
      <c r="BQ279" s="54">
        <v>44907</v>
      </c>
      <c r="BR279" s="53" t="s">
        <v>95</v>
      </c>
      <c r="BS279" s="53" t="s">
        <v>267</v>
      </c>
      <c r="BT279" s="53" t="s">
        <v>1208</v>
      </c>
      <c r="BU279" s="4"/>
    </row>
    <row r="280" spans="53:73" x14ac:dyDescent="0.3">
      <c r="BA280" s="4"/>
      <c r="BC280" s="4"/>
      <c r="BD280" s="4"/>
      <c r="BE280" s="4"/>
      <c r="BF280" s="4"/>
      <c r="BO280" s="53" t="s">
        <v>266</v>
      </c>
      <c r="BP280" s="53" t="s">
        <v>1211</v>
      </c>
      <c r="BQ280" s="54">
        <v>44910</v>
      </c>
      <c r="BR280" s="53" t="s">
        <v>95</v>
      </c>
      <c r="BS280" s="53" t="s">
        <v>267</v>
      </c>
      <c r="BT280" s="53" t="s">
        <v>1210</v>
      </c>
      <c r="BU280" s="4"/>
    </row>
    <row r="281" spans="53:73" x14ac:dyDescent="0.3">
      <c r="BA281" s="4"/>
      <c r="BC281" s="4"/>
      <c r="BD281" s="4"/>
      <c r="BE281" s="4"/>
      <c r="BF281" s="4"/>
      <c r="BO281" s="53" t="s">
        <v>84</v>
      </c>
      <c r="BP281" s="53" t="s">
        <v>1586</v>
      </c>
      <c r="BQ281" s="54">
        <v>45126</v>
      </c>
      <c r="BR281" s="53" t="s">
        <v>95</v>
      </c>
      <c r="BS281" s="53" t="s">
        <v>766</v>
      </c>
      <c r="BT281" s="53" t="s">
        <v>1585</v>
      </c>
      <c r="BU281" s="4"/>
    </row>
    <row r="282" spans="53:73" x14ac:dyDescent="0.3">
      <c r="BA282" s="4"/>
      <c r="BC282" s="4"/>
      <c r="BD282" s="4"/>
      <c r="BE282" s="4"/>
      <c r="BF282" s="4"/>
      <c r="BO282" s="53" t="s">
        <v>84</v>
      </c>
      <c r="BP282" s="53" t="s">
        <v>1588</v>
      </c>
      <c r="BQ282" s="54">
        <v>45148</v>
      </c>
      <c r="BR282" s="53" t="s">
        <v>95</v>
      </c>
      <c r="BS282" s="53" t="s">
        <v>766</v>
      </c>
      <c r="BT282" s="53" t="s">
        <v>1587</v>
      </c>
      <c r="BU282" s="4"/>
    </row>
    <row r="283" spans="53:73" x14ac:dyDescent="0.3">
      <c r="BA283" s="4"/>
      <c r="BC283" s="4"/>
      <c r="BD283" s="4"/>
      <c r="BE283" s="4"/>
      <c r="BF283" s="4"/>
      <c r="BO283" s="53" t="s">
        <v>84</v>
      </c>
      <c r="BP283" s="53" t="s">
        <v>2052</v>
      </c>
      <c r="BQ283" s="54">
        <v>45264</v>
      </c>
      <c r="BR283" s="53" t="s">
        <v>95</v>
      </c>
      <c r="BS283" s="53" t="s">
        <v>766</v>
      </c>
      <c r="BT283" s="53" t="s">
        <v>2051</v>
      </c>
      <c r="BU283" s="4"/>
    </row>
    <row r="284" spans="53:73" x14ac:dyDescent="0.3">
      <c r="BA284" s="4"/>
      <c r="BC284" s="4"/>
      <c r="BD284" s="4"/>
      <c r="BE284" s="4"/>
      <c r="BF284" s="4"/>
      <c r="BO284" s="53" t="s">
        <v>84</v>
      </c>
      <c r="BP284" s="53" t="s">
        <v>2054</v>
      </c>
      <c r="BQ284" s="54">
        <v>45266</v>
      </c>
      <c r="BR284" s="53" t="s">
        <v>95</v>
      </c>
      <c r="BS284" s="53" t="s">
        <v>766</v>
      </c>
      <c r="BT284" s="53" t="s">
        <v>2053</v>
      </c>
      <c r="BU284" s="4"/>
    </row>
    <row r="285" spans="53:73" x14ac:dyDescent="0.3">
      <c r="BA285" s="4"/>
      <c r="BC285" s="4"/>
      <c r="BD285" s="4"/>
      <c r="BE285" s="4"/>
      <c r="BF285" s="4"/>
      <c r="BO285" s="53" t="s">
        <v>84</v>
      </c>
      <c r="BP285" s="53" t="s">
        <v>1295</v>
      </c>
      <c r="BQ285" s="54">
        <v>44917</v>
      </c>
      <c r="BR285" s="53" t="s">
        <v>95</v>
      </c>
      <c r="BS285" s="53" t="s">
        <v>766</v>
      </c>
      <c r="BT285" s="53" t="s">
        <v>1294</v>
      </c>
      <c r="BU285" s="4"/>
    </row>
    <row r="286" spans="53:73" x14ac:dyDescent="0.3">
      <c r="BA286" s="4"/>
      <c r="BC286" s="4"/>
      <c r="BD286" s="4"/>
      <c r="BE286" s="4"/>
      <c r="BF286" s="4"/>
      <c r="BO286" s="53" t="s">
        <v>291</v>
      </c>
      <c r="BP286" s="53" t="s">
        <v>1379</v>
      </c>
      <c r="BQ286" s="54">
        <v>44930</v>
      </c>
      <c r="BR286" s="53" t="s">
        <v>95</v>
      </c>
      <c r="BS286" s="53" t="s">
        <v>328</v>
      </c>
      <c r="BT286" s="53" t="s">
        <v>1378</v>
      </c>
      <c r="BU286" s="4"/>
    </row>
    <row r="287" spans="53:73" x14ac:dyDescent="0.3">
      <c r="BA287" s="4"/>
      <c r="BC287" s="4"/>
      <c r="BD287" s="4"/>
      <c r="BE287" s="4"/>
      <c r="BF287" s="4"/>
      <c r="BO287" s="53" t="s">
        <v>114</v>
      </c>
      <c r="BP287" s="53" t="s">
        <v>1307</v>
      </c>
      <c r="BQ287" s="54">
        <v>44936</v>
      </c>
      <c r="BR287" s="53" t="s">
        <v>95</v>
      </c>
      <c r="BS287" s="53" t="s">
        <v>205</v>
      </c>
      <c r="BT287" s="53" t="s">
        <v>1306</v>
      </c>
      <c r="BU287" s="4"/>
    </row>
    <row r="288" spans="53:73" x14ac:dyDescent="0.3">
      <c r="BA288" s="4"/>
      <c r="BC288" s="4"/>
      <c r="BD288" s="4"/>
      <c r="BE288" s="4"/>
      <c r="BF288" s="4"/>
      <c r="BO288" s="53" t="s">
        <v>266</v>
      </c>
      <c r="BP288" s="53" t="s">
        <v>1356</v>
      </c>
      <c r="BQ288" s="54">
        <v>44950</v>
      </c>
      <c r="BR288" s="53" t="s">
        <v>95</v>
      </c>
      <c r="BS288" s="53" t="s">
        <v>391</v>
      </c>
      <c r="BT288" s="53" t="s">
        <v>1355</v>
      </c>
      <c r="BU288" s="4"/>
    </row>
    <row r="289" spans="53:73" x14ac:dyDescent="0.3">
      <c r="BA289" s="4"/>
      <c r="BC289" s="4"/>
      <c r="BD289" s="4"/>
      <c r="BE289" s="4"/>
      <c r="BF289" s="4"/>
      <c r="BO289" s="53" t="s">
        <v>135</v>
      </c>
      <c r="BP289" s="53" t="s">
        <v>1489</v>
      </c>
      <c r="BQ289" s="54">
        <v>44953</v>
      </c>
      <c r="BR289" s="53" t="s">
        <v>95</v>
      </c>
      <c r="BS289" s="53" t="s">
        <v>861</v>
      </c>
      <c r="BT289" s="53" t="s">
        <v>1280</v>
      </c>
      <c r="BU289" s="4"/>
    </row>
    <row r="290" spans="53:73" x14ac:dyDescent="0.3">
      <c r="BA290" s="4"/>
      <c r="BC290" s="4"/>
      <c r="BD290" s="4"/>
      <c r="BE290" s="4"/>
      <c r="BF290" s="4"/>
      <c r="BO290" s="53" t="s">
        <v>335</v>
      </c>
      <c r="BP290" s="53" t="s">
        <v>1273</v>
      </c>
      <c r="BQ290" s="54">
        <v>44958</v>
      </c>
      <c r="BR290" s="53" t="s">
        <v>95</v>
      </c>
      <c r="BS290" s="53" t="s">
        <v>1099</v>
      </c>
      <c r="BT290" s="53" t="s">
        <v>1272</v>
      </c>
      <c r="BU290" s="4"/>
    </row>
    <row r="291" spans="53:73" x14ac:dyDescent="0.3">
      <c r="BA291" s="4"/>
      <c r="BC291" s="4"/>
      <c r="BD291" s="4"/>
      <c r="BE291" s="4"/>
      <c r="BF291" s="4"/>
      <c r="BO291" s="53" t="s">
        <v>84</v>
      </c>
      <c r="BP291" s="53" t="s">
        <v>1122</v>
      </c>
      <c r="BQ291" s="54">
        <v>44960</v>
      </c>
      <c r="BR291" s="53" t="s">
        <v>95</v>
      </c>
      <c r="BS291" s="53" t="s">
        <v>330</v>
      </c>
      <c r="BT291" s="53" t="s">
        <v>1296</v>
      </c>
      <c r="BU291" s="4"/>
    </row>
    <row r="292" spans="53:73" x14ac:dyDescent="0.3">
      <c r="BA292" s="4"/>
      <c r="BC292" s="4"/>
      <c r="BD292" s="4"/>
      <c r="BE292" s="4"/>
      <c r="BF292" s="4"/>
      <c r="BO292" s="53" t="s">
        <v>266</v>
      </c>
      <c r="BP292" s="53" t="s">
        <v>1358</v>
      </c>
      <c r="BQ292" s="54">
        <v>44970</v>
      </c>
      <c r="BR292" s="53" t="s">
        <v>95</v>
      </c>
      <c r="BS292" s="53" t="s">
        <v>1359</v>
      </c>
      <c r="BT292" s="53" t="s">
        <v>1357</v>
      </c>
      <c r="BU292" s="4"/>
    </row>
    <row r="293" spans="53:73" x14ac:dyDescent="0.3">
      <c r="BA293" s="4"/>
      <c r="BC293" s="4"/>
      <c r="BD293" s="4"/>
      <c r="BE293" s="4"/>
      <c r="BF293" s="4"/>
      <c r="BO293" s="53" t="s">
        <v>135</v>
      </c>
      <c r="BP293" s="53" t="s">
        <v>1282</v>
      </c>
      <c r="BQ293" s="54">
        <v>44984</v>
      </c>
      <c r="BR293" s="53" t="s">
        <v>95</v>
      </c>
      <c r="BS293" s="53" t="s">
        <v>1283</v>
      </c>
      <c r="BT293" s="53" t="s">
        <v>1281</v>
      </c>
      <c r="BU293" s="4"/>
    </row>
    <row r="294" spans="53:73" x14ac:dyDescent="0.3">
      <c r="BA294" s="4"/>
      <c r="BC294" s="4"/>
      <c r="BD294" s="4"/>
      <c r="BE294" s="4"/>
      <c r="BF294" s="4"/>
      <c r="BO294" s="53" t="s">
        <v>266</v>
      </c>
      <c r="BP294" s="53" t="s">
        <v>2065</v>
      </c>
      <c r="BQ294" s="54">
        <v>44993</v>
      </c>
      <c r="BR294" s="53" t="s">
        <v>95</v>
      </c>
      <c r="BS294" s="53" t="s">
        <v>1361</v>
      </c>
      <c r="BT294" s="53" t="s">
        <v>1360</v>
      </c>
      <c r="BU294" s="4"/>
    </row>
    <row r="295" spans="53:73" x14ac:dyDescent="0.3">
      <c r="BA295" s="4"/>
      <c r="BC295" s="4"/>
      <c r="BD295" s="4"/>
      <c r="BE295" s="4"/>
      <c r="BF295" s="4"/>
      <c r="BO295" s="53" t="s">
        <v>266</v>
      </c>
      <c r="BP295" s="53" t="s">
        <v>1363</v>
      </c>
      <c r="BQ295" s="54">
        <v>44998</v>
      </c>
      <c r="BR295" s="53" t="s">
        <v>95</v>
      </c>
      <c r="BS295" s="53" t="s">
        <v>737</v>
      </c>
      <c r="BT295" s="53" t="s">
        <v>1362</v>
      </c>
      <c r="BU295" s="4"/>
    </row>
    <row r="296" spans="53:73" x14ac:dyDescent="0.3">
      <c r="BA296" s="4"/>
      <c r="BC296" s="4"/>
      <c r="BD296" s="4"/>
      <c r="BE296" s="4"/>
      <c r="BF296" s="4"/>
      <c r="BO296" s="53" t="s">
        <v>335</v>
      </c>
      <c r="BP296" s="53" t="s">
        <v>1275</v>
      </c>
      <c r="BQ296" s="54">
        <v>45000</v>
      </c>
      <c r="BR296" s="53" t="s">
        <v>95</v>
      </c>
      <c r="BS296" s="53" t="s">
        <v>1099</v>
      </c>
      <c r="BT296" s="53" t="s">
        <v>1274</v>
      </c>
      <c r="BU296" s="4"/>
    </row>
    <row r="297" spans="53:73" x14ac:dyDescent="0.3">
      <c r="BA297" s="4"/>
      <c r="BC297" s="4"/>
      <c r="BD297" s="4"/>
      <c r="BE297" s="4"/>
      <c r="BF297" s="4"/>
      <c r="BO297" s="53" t="s">
        <v>266</v>
      </c>
      <c r="BP297" s="53" t="s">
        <v>1365</v>
      </c>
      <c r="BQ297" s="54">
        <v>45000</v>
      </c>
      <c r="BR297" s="53" t="s">
        <v>95</v>
      </c>
      <c r="BS297" s="53" t="s">
        <v>1366</v>
      </c>
      <c r="BT297" s="53" t="s">
        <v>1364</v>
      </c>
      <c r="BU297" s="4"/>
    </row>
    <row r="298" spans="53:73" x14ac:dyDescent="0.3">
      <c r="BA298" s="4"/>
      <c r="BC298" s="4"/>
      <c r="BD298" s="4"/>
      <c r="BE298" s="4"/>
      <c r="BF298" s="4"/>
      <c r="BO298" s="53" t="s">
        <v>335</v>
      </c>
      <c r="BP298" s="53" t="s">
        <v>1277</v>
      </c>
      <c r="BQ298" s="54">
        <v>45009</v>
      </c>
      <c r="BR298" s="53" t="s">
        <v>95</v>
      </c>
      <c r="BS298" s="53" t="s">
        <v>373</v>
      </c>
      <c r="BT298" s="53" t="s">
        <v>1276</v>
      </c>
      <c r="BU298" s="4"/>
    </row>
    <row r="299" spans="53:73" x14ac:dyDescent="0.3">
      <c r="BA299" s="4"/>
      <c r="BC299" s="4"/>
      <c r="BD299" s="4"/>
      <c r="BE299" s="4"/>
      <c r="BF299" s="4"/>
      <c r="BO299" s="53" t="s">
        <v>266</v>
      </c>
      <c r="BP299" s="53" t="s">
        <v>1368</v>
      </c>
      <c r="BQ299" s="54">
        <v>45014</v>
      </c>
      <c r="BR299" s="53" t="s">
        <v>95</v>
      </c>
      <c r="BS299" s="53" t="s">
        <v>402</v>
      </c>
      <c r="BT299" s="53" t="s">
        <v>1367</v>
      </c>
      <c r="BU299" s="4"/>
    </row>
    <row r="300" spans="53:73" x14ac:dyDescent="0.3">
      <c r="BA300" s="4"/>
      <c r="BC300" s="4"/>
      <c r="BD300" s="4"/>
      <c r="BE300" s="4"/>
      <c r="BF300" s="4"/>
      <c r="BO300" s="53" t="s">
        <v>94</v>
      </c>
      <c r="BP300" s="53" t="s">
        <v>1394</v>
      </c>
      <c r="BQ300" s="54">
        <v>45019</v>
      </c>
      <c r="BR300" s="53" t="s">
        <v>95</v>
      </c>
      <c r="BS300" s="53" t="s">
        <v>1395</v>
      </c>
      <c r="BT300" s="53" t="s">
        <v>1393</v>
      </c>
      <c r="BU300" s="4"/>
    </row>
    <row r="301" spans="53:73" x14ac:dyDescent="0.3">
      <c r="BA301" s="4"/>
      <c r="BC301" s="4"/>
      <c r="BD301" s="4"/>
      <c r="BE301" s="4"/>
      <c r="BF301" s="4"/>
      <c r="BO301" s="53" t="s">
        <v>291</v>
      </c>
      <c r="BP301" s="53" t="s">
        <v>1381</v>
      </c>
      <c r="BQ301" s="54">
        <v>45021</v>
      </c>
      <c r="BR301" s="53" t="s">
        <v>95</v>
      </c>
      <c r="BS301" s="53" t="s">
        <v>328</v>
      </c>
      <c r="BT301" s="53" t="s">
        <v>1380</v>
      </c>
      <c r="BU301" s="4"/>
    </row>
    <row r="302" spans="53:73" x14ac:dyDescent="0.3">
      <c r="BA302" s="4"/>
      <c r="BC302" s="4"/>
      <c r="BD302" s="4"/>
      <c r="BE302" s="4"/>
      <c r="BF302" s="4"/>
      <c r="BO302" s="53" t="s">
        <v>266</v>
      </c>
      <c r="BP302" s="53" t="s">
        <v>1370</v>
      </c>
      <c r="BQ302" s="54">
        <v>45021</v>
      </c>
      <c r="BR302" s="53" t="s">
        <v>95</v>
      </c>
      <c r="BS302" s="53" t="s">
        <v>1371</v>
      </c>
      <c r="BT302" s="53" t="s">
        <v>1369</v>
      </c>
      <c r="BU302" s="4"/>
    </row>
    <row r="303" spans="53:73" x14ac:dyDescent="0.3">
      <c r="BA303" s="4"/>
      <c r="BC303" s="4"/>
      <c r="BD303" s="4"/>
      <c r="BE303" s="4"/>
      <c r="BF303" s="4"/>
      <c r="BO303" s="53" t="s">
        <v>335</v>
      </c>
      <c r="BP303" s="53" t="s">
        <v>1279</v>
      </c>
      <c r="BQ303" s="54">
        <v>45029</v>
      </c>
      <c r="BR303" s="53" t="s">
        <v>95</v>
      </c>
      <c r="BS303" s="53" t="s">
        <v>992</v>
      </c>
      <c r="BT303" s="53" t="s">
        <v>1278</v>
      </c>
      <c r="BU303" s="4"/>
    </row>
    <row r="304" spans="53:73" x14ac:dyDescent="0.3">
      <c r="BA304" s="4"/>
      <c r="BC304" s="4"/>
      <c r="BD304" s="4"/>
      <c r="BE304" s="4"/>
      <c r="BF304" s="4"/>
      <c r="BO304" s="53" t="s">
        <v>84</v>
      </c>
      <c r="BP304" s="53" t="s">
        <v>1299</v>
      </c>
      <c r="BQ304" s="54">
        <v>45030</v>
      </c>
      <c r="BR304" s="53" t="s">
        <v>95</v>
      </c>
      <c r="BS304" s="53" t="s">
        <v>1300</v>
      </c>
      <c r="BT304" s="53" t="s">
        <v>1298</v>
      </c>
      <c r="BU304" s="4"/>
    </row>
    <row r="305" spans="53:73" x14ac:dyDescent="0.3">
      <c r="BA305" s="4"/>
      <c r="BC305" s="4"/>
      <c r="BD305" s="4"/>
      <c r="BE305" s="4"/>
      <c r="BF305" s="4"/>
      <c r="BO305" s="53" t="s">
        <v>266</v>
      </c>
      <c r="BP305" s="53" t="s">
        <v>1438</v>
      </c>
      <c r="BQ305" s="54">
        <v>45035</v>
      </c>
      <c r="BR305" s="53" t="s">
        <v>95</v>
      </c>
      <c r="BS305" s="53" t="s">
        <v>267</v>
      </c>
      <c r="BT305" s="53" t="s">
        <v>1437</v>
      </c>
      <c r="BU305" s="4"/>
    </row>
    <row r="306" spans="53:73" x14ac:dyDescent="0.3">
      <c r="BA306" s="4"/>
      <c r="BC306" s="4"/>
      <c r="BD306" s="4"/>
      <c r="BE306" s="4"/>
      <c r="BF306" s="4"/>
      <c r="BO306" s="53" t="s">
        <v>84</v>
      </c>
      <c r="BP306" s="53" t="s">
        <v>1431</v>
      </c>
      <c r="BQ306" s="54">
        <v>45036</v>
      </c>
      <c r="BR306" s="53" t="s">
        <v>95</v>
      </c>
      <c r="BS306" s="53" t="s">
        <v>1432</v>
      </c>
      <c r="BT306" s="53" t="s">
        <v>1430</v>
      </c>
      <c r="BU306" s="4"/>
    </row>
    <row r="307" spans="53:73" x14ac:dyDescent="0.3">
      <c r="BA307" s="4"/>
      <c r="BC307" s="4"/>
      <c r="BD307" s="4"/>
      <c r="BE307" s="4"/>
      <c r="BF307" s="4"/>
      <c r="BO307" s="53" t="s">
        <v>84</v>
      </c>
      <c r="BP307" s="53" t="s">
        <v>1497</v>
      </c>
      <c r="BQ307" s="54">
        <v>45078</v>
      </c>
      <c r="BR307" s="53" t="s">
        <v>95</v>
      </c>
      <c r="BS307" s="53" t="s">
        <v>1113</v>
      </c>
      <c r="BT307" s="53" t="s">
        <v>1496</v>
      </c>
      <c r="BU307" s="4"/>
    </row>
    <row r="308" spans="53:73" x14ac:dyDescent="0.3">
      <c r="BA308" s="4"/>
      <c r="BC308" s="4"/>
      <c r="BD308" s="4"/>
      <c r="BE308" s="4"/>
      <c r="BF308" s="4"/>
      <c r="BO308" s="53" t="s">
        <v>84</v>
      </c>
      <c r="BP308" s="53" t="s">
        <v>1497</v>
      </c>
      <c r="BQ308" s="54">
        <v>45112</v>
      </c>
      <c r="BR308" s="53" t="s">
        <v>95</v>
      </c>
      <c r="BS308" s="53" t="s">
        <v>1113</v>
      </c>
      <c r="BT308" s="53" t="s">
        <v>1556</v>
      </c>
      <c r="BU308" s="4"/>
    </row>
    <row r="309" spans="53:73" x14ac:dyDescent="0.3">
      <c r="BA309" s="4"/>
      <c r="BC309" s="4"/>
      <c r="BD309" s="4"/>
      <c r="BE309" s="4"/>
      <c r="BF309" s="4"/>
      <c r="BO309" s="53" t="s">
        <v>84</v>
      </c>
      <c r="BP309" s="53" t="s">
        <v>1444</v>
      </c>
      <c r="BQ309" s="54">
        <v>45049</v>
      </c>
      <c r="BR309" s="53" t="s">
        <v>95</v>
      </c>
      <c r="BS309" s="53" t="s">
        <v>1113</v>
      </c>
      <c r="BT309" s="53" t="s">
        <v>1443</v>
      </c>
      <c r="BU309" s="4"/>
    </row>
    <row r="310" spans="53:73" x14ac:dyDescent="0.3">
      <c r="BA310" s="4"/>
      <c r="BC310" s="4"/>
      <c r="BD310" s="4"/>
      <c r="BE310" s="4"/>
      <c r="BF310" s="4"/>
      <c r="BO310" s="53" t="s">
        <v>266</v>
      </c>
      <c r="BP310" s="53" t="s">
        <v>1457</v>
      </c>
      <c r="BQ310" s="54">
        <v>45049</v>
      </c>
      <c r="BR310" s="53" t="s">
        <v>95</v>
      </c>
      <c r="BS310" s="53" t="s">
        <v>391</v>
      </c>
      <c r="BT310" s="53" t="s">
        <v>1456</v>
      </c>
      <c r="BU310" s="4"/>
    </row>
    <row r="311" spans="53:73" x14ac:dyDescent="0.3">
      <c r="BA311" s="4"/>
      <c r="BC311" s="4"/>
      <c r="BD311" s="4"/>
      <c r="BE311" s="4"/>
      <c r="BF311" s="4"/>
      <c r="BO311" s="53" t="s">
        <v>84</v>
      </c>
      <c r="BP311" s="53" t="s">
        <v>1499</v>
      </c>
      <c r="BQ311" s="54">
        <v>45078</v>
      </c>
      <c r="BR311" s="53" t="s">
        <v>95</v>
      </c>
      <c r="BS311" s="53" t="s">
        <v>329</v>
      </c>
      <c r="BT311" s="53" t="s">
        <v>1498</v>
      </c>
      <c r="BU311" s="4"/>
    </row>
    <row r="312" spans="53:73" x14ac:dyDescent="0.3">
      <c r="BA312" s="4"/>
      <c r="BC312" s="4"/>
      <c r="BD312" s="4"/>
      <c r="BE312" s="4"/>
      <c r="BF312" s="4"/>
      <c r="BO312" s="53" t="s">
        <v>84</v>
      </c>
      <c r="BP312" s="53" t="s">
        <v>1446</v>
      </c>
      <c r="BQ312" s="54">
        <v>45051</v>
      </c>
      <c r="BR312" s="53" t="s">
        <v>95</v>
      </c>
      <c r="BS312" s="53" t="s">
        <v>329</v>
      </c>
      <c r="BT312" s="53" t="s">
        <v>1445</v>
      </c>
      <c r="BU312" s="4"/>
    </row>
    <row r="313" spans="53:73" x14ac:dyDescent="0.3">
      <c r="BA313" s="4"/>
      <c r="BC313" s="4"/>
      <c r="BD313" s="4"/>
      <c r="BE313" s="4"/>
      <c r="BF313" s="4"/>
      <c r="BO313" s="53" t="s">
        <v>291</v>
      </c>
      <c r="BP313" s="53" t="s">
        <v>1531</v>
      </c>
      <c r="BQ313" s="54">
        <v>45063</v>
      </c>
      <c r="BR313" s="53" t="s">
        <v>95</v>
      </c>
      <c r="BS313" s="53" t="s">
        <v>1458</v>
      </c>
      <c r="BT313" s="53" t="s">
        <v>1530</v>
      </c>
      <c r="BU313" s="4"/>
    </row>
    <row r="314" spans="53:73" x14ac:dyDescent="0.3">
      <c r="BA314" s="4"/>
      <c r="BC314" s="4"/>
      <c r="BD314" s="4"/>
      <c r="BE314" s="4"/>
      <c r="BF314" s="4"/>
      <c r="BO314" s="53" t="s">
        <v>135</v>
      </c>
      <c r="BP314" s="53" t="s">
        <v>1721</v>
      </c>
      <c r="BQ314" s="54">
        <v>45159</v>
      </c>
      <c r="BR314" s="53" t="s">
        <v>95</v>
      </c>
      <c r="BS314" s="53" t="s">
        <v>1492</v>
      </c>
      <c r="BT314" s="53" t="s">
        <v>1720</v>
      </c>
      <c r="BU314" s="4"/>
    </row>
    <row r="315" spans="53:73" x14ac:dyDescent="0.3">
      <c r="BA315" s="4"/>
      <c r="BC315" s="4"/>
      <c r="BD315" s="4"/>
      <c r="BE315" s="4"/>
      <c r="BF315" s="4"/>
      <c r="BO315" s="53" t="s">
        <v>135</v>
      </c>
      <c r="BP315" s="53" t="s">
        <v>1491</v>
      </c>
      <c r="BQ315" s="54">
        <v>45070</v>
      </c>
      <c r="BR315" s="53" t="s">
        <v>95</v>
      </c>
      <c r="BS315" s="53" t="s">
        <v>1492</v>
      </c>
      <c r="BT315" s="53" t="s">
        <v>1490</v>
      </c>
      <c r="BU315" s="4"/>
    </row>
    <row r="316" spans="53:73" x14ac:dyDescent="0.3">
      <c r="BA316" s="4"/>
      <c r="BC316" s="4"/>
      <c r="BD316" s="4"/>
      <c r="BE316" s="4"/>
      <c r="BF316" s="4"/>
      <c r="BO316" s="53" t="s">
        <v>84</v>
      </c>
      <c r="BP316" s="53" t="s">
        <v>2036</v>
      </c>
      <c r="BQ316" s="54">
        <v>45257</v>
      </c>
      <c r="BR316" s="53" t="s">
        <v>95</v>
      </c>
      <c r="BS316" s="53" t="s">
        <v>360</v>
      </c>
      <c r="BT316" s="53" t="s">
        <v>2035</v>
      </c>
      <c r="BU316" s="4"/>
    </row>
    <row r="317" spans="53:73" x14ac:dyDescent="0.3">
      <c r="BA317" s="4"/>
      <c r="BC317" s="4"/>
      <c r="BD317" s="4"/>
      <c r="BE317" s="4"/>
      <c r="BF317" s="4"/>
      <c r="BO317" s="53" t="s">
        <v>84</v>
      </c>
      <c r="BP317" s="53" t="s">
        <v>1501</v>
      </c>
      <c r="BQ317" s="54">
        <v>45071</v>
      </c>
      <c r="BR317" s="53" t="s">
        <v>95</v>
      </c>
      <c r="BS317" s="53" t="s">
        <v>360</v>
      </c>
      <c r="BT317" s="53" t="s">
        <v>1500</v>
      </c>
      <c r="BU317" s="4"/>
    </row>
    <row r="318" spans="53:73" x14ac:dyDescent="0.3">
      <c r="BA318" s="4"/>
      <c r="BC318" s="4"/>
      <c r="BD318" s="4"/>
      <c r="BE318" s="4"/>
      <c r="BF318" s="4"/>
      <c r="BO318" s="53" t="s">
        <v>291</v>
      </c>
      <c r="BP318" s="53" t="s">
        <v>1533</v>
      </c>
      <c r="BQ318" s="54">
        <v>45078</v>
      </c>
      <c r="BR318" s="53" t="s">
        <v>95</v>
      </c>
      <c r="BS318" s="53" t="s">
        <v>349</v>
      </c>
      <c r="BT318" s="53" t="s">
        <v>1532</v>
      </c>
      <c r="BU318" s="4"/>
    </row>
    <row r="319" spans="53:73" x14ac:dyDescent="0.3">
      <c r="BA319" s="4"/>
      <c r="BC319" s="4"/>
      <c r="BD319" s="4"/>
      <c r="BE319" s="4"/>
      <c r="BF319" s="4"/>
      <c r="BO319" s="53" t="s">
        <v>335</v>
      </c>
      <c r="BP319" s="53" t="s">
        <v>1485</v>
      </c>
      <c r="BQ319" s="54">
        <v>45085</v>
      </c>
      <c r="BR319" s="53" t="s">
        <v>95</v>
      </c>
      <c r="BS319" s="53" t="s">
        <v>1099</v>
      </c>
      <c r="BT319" s="53" t="s">
        <v>1484</v>
      </c>
      <c r="BU319" s="4"/>
    </row>
    <row r="320" spans="53:73" x14ac:dyDescent="0.3">
      <c r="BA320" s="4"/>
      <c r="BC320" s="4"/>
      <c r="BD320" s="4"/>
      <c r="BE320" s="4"/>
      <c r="BF320" s="4"/>
      <c r="BO320" s="53" t="s">
        <v>84</v>
      </c>
      <c r="BP320" s="53" t="s">
        <v>1503</v>
      </c>
      <c r="BQ320" s="54">
        <v>45091</v>
      </c>
      <c r="BR320" s="53" t="s">
        <v>95</v>
      </c>
      <c r="BS320" s="53" t="s">
        <v>267</v>
      </c>
      <c r="BT320" s="53" t="s">
        <v>1502</v>
      </c>
      <c r="BU320" s="4"/>
    </row>
    <row r="321" spans="53:73" x14ac:dyDescent="0.3">
      <c r="BA321" s="4"/>
      <c r="BC321" s="4"/>
      <c r="BD321" s="4"/>
      <c r="BE321" s="4"/>
      <c r="BF321" s="4"/>
      <c r="BO321" s="53" t="s">
        <v>266</v>
      </c>
      <c r="BP321" s="53" t="s">
        <v>1526</v>
      </c>
      <c r="BQ321" s="54">
        <v>45092</v>
      </c>
      <c r="BR321" s="53" t="s">
        <v>95</v>
      </c>
      <c r="BS321" s="53" t="s">
        <v>267</v>
      </c>
      <c r="BT321" s="53" t="s">
        <v>1525</v>
      </c>
      <c r="BU321" s="4"/>
    </row>
    <row r="322" spans="53:73" x14ac:dyDescent="0.3">
      <c r="BA322" s="4"/>
      <c r="BC322" s="4"/>
      <c r="BD322" s="4"/>
      <c r="BE322" s="4"/>
      <c r="BF322" s="4"/>
      <c r="BO322" s="53" t="s">
        <v>84</v>
      </c>
      <c r="BP322" s="53" t="s">
        <v>1297</v>
      </c>
      <c r="BQ322" s="54">
        <v>45111</v>
      </c>
      <c r="BR322" s="53" t="s">
        <v>95</v>
      </c>
      <c r="BS322" s="53" t="s">
        <v>1113</v>
      </c>
      <c r="BT322" s="53" t="s">
        <v>1557</v>
      </c>
      <c r="BU322" s="4"/>
    </row>
    <row r="323" spans="53:73" x14ac:dyDescent="0.3">
      <c r="BA323" s="4"/>
      <c r="BC323" s="4"/>
      <c r="BD323" s="4"/>
      <c r="BE323" s="4"/>
      <c r="BF323" s="4"/>
      <c r="BO323" s="53" t="s">
        <v>84</v>
      </c>
      <c r="BP323" s="53" t="s">
        <v>1297</v>
      </c>
      <c r="BQ323" s="54">
        <v>45092</v>
      </c>
      <c r="BR323" s="53" t="s">
        <v>95</v>
      </c>
      <c r="BS323" s="53" t="s">
        <v>1113</v>
      </c>
      <c r="BT323" s="53" t="s">
        <v>1504</v>
      </c>
      <c r="BU323" s="4"/>
    </row>
    <row r="324" spans="53:73" x14ac:dyDescent="0.3">
      <c r="BA324" s="4"/>
      <c r="BC324" s="4"/>
      <c r="BD324" s="4"/>
      <c r="BE324" s="4"/>
      <c r="BF324" s="4"/>
      <c r="BO324" s="53" t="s">
        <v>135</v>
      </c>
      <c r="BP324" s="53" t="s">
        <v>1494</v>
      </c>
      <c r="BQ324" s="54">
        <v>45096</v>
      </c>
      <c r="BR324" s="53" t="s">
        <v>95</v>
      </c>
      <c r="BS324" s="53" t="s">
        <v>1495</v>
      </c>
      <c r="BT324" s="53" t="s">
        <v>1493</v>
      </c>
      <c r="BU324" s="4"/>
    </row>
    <row r="325" spans="53:73" x14ac:dyDescent="0.3">
      <c r="BA325" s="4"/>
      <c r="BC325" s="4"/>
      <c r="BD325" s="4"/>
      <c r="BE325" s="4"/>
      <c r="BF325" s="4"/>
      <c r="BO325" s="53" t="s">
        <v>291</v>
      </c>
      <c r="BP325" s="53" t="s">
        <v>1678</v>
      </c>
      <c r="BQ325" s="54">
        <v>45120</v>
      </c>
      <c r="BR325" s="53" t="s">
        <v>95</v>
      </c>
      <c r="BS325" s="53" t="s">
        <v>1679</v>
      </c>
      <c r="BT325" s="53" t="s">
        <v>1677</v>
      </c>
      <c r="BU325" s="4"/>
    </row>
    <row r="326" spans="53:73" x14ac:dyDescent="0.3">
      <c r="BA326" s="4"/>
      <c r="BC326" s="4"/>
      <c r="BD326" s="4"/>
      <c r="BE326" s="4"/>
      <c r="BF326" s="4"/>
      <c r="BO326" s="53" t="s">
        <v>266</v>
      </c>
      <c r="BP326" s="53" t="s">
        <v>1876</v>
      </c>
      <c r="BQ326" s="54">
        <v>45215</v>
      </c>
      <c r="BR326" s="53" t="s">
        <v>95</v>
      </c>
      <c r="BS326" s="53" t="s">
        <v>1672</v>
      </c>
      <c r="BT326" s="53" t="s">
        <v>1875</v>
      </c>
      <c r="BU326" s="4"/>
    </row>
    <row r="327" spans="53:73" x14ac:dyDescent="0.3">
      <c r="BA327" s="4"/>
      <c r="BC327" s="4"/>
      <c r="BD327" s="4"/>
      <c r="BE327" s="4"/>
      <c r="BF327" s="4"/>
      <c r="BO327" s="53" t="s">
        <v>266</v>
      </c>
      <c r="BP327" s="53" t="s">
        <v>1671</v>
      </c>
      <c r="BQ327" s="54">
        <v>45124</v>
      </c>
      <c r="BR327" s="53" t="s">
        <v>95</v>
      </c>
      <c r="BS327" s="53" t="s">
        <v>1672</v>
      </c>
      <c r="BT327" s="53" t="s">
        <v>1670</v>
      </c>
      <c r="BU327" s="4"/>
    </row>
    <row r="328" spans="53:73" x14ac:dyDescent="0.3">
      <c r="BA328" s="4"/>
      <c r="BC328" s="4"/>
      <c r="BD328" s="4"/>
      <c r="BE328" s="4"/>
      <c r="BF328" s="4"/>
      <c r="BO328" s="53" t="s">
        <v>335</v>
      </c>
      <c r="BP328" s="53" t="s">
        <v>1580</v>
      </c>
      <c r="BQ328" s="54">
        <v>45126</v>
      </c>
      <c r="BR328" s="53" t="s">
        <v>95</v>
      </c>
      <c r="BS328" s="53" t="s">
        <v>1581</v>
      </c>
      <c r="BT328" s="53" t="s">
        <v>1579</v>
      </c>
      <c r="BU328" s="4"/>
    </row>
    <row r="329" spans="53:73" x14ac:dyDescent="0.3">
      <c r="BA329" s="4"/>
      <c r="BC329" s="4"/>
      <c r="BD329" s="4"/>
      <c r="BE329" s="4"/>
      <c r="BF329" s="4"/>
      <c r="BO329" s="53" t="s">
        <v>84</v>
      </c>
      <c r="BP329" s="53" t="s">
        <v>1297</v>
      </c>
      <c r="BQ329" s="54">
        <v>45131</v>
      </c>
      <c r="BR329" s="53" t="s">
        <v>95</v>
      </c>
      <c r="BS329" s="53" t="s">
        <v>1113</v>
      </c>
      <c r="BT329" s="53" t="s">
        <v>1590</v>
      </c>
      <c r="BU329" s="4"/>
    </row>
    <row r="330" spans="53:73" x14ac:dyDescent="0.3">
      <c r="BA330" s="4"/>
      <c r="BC330" s="4"/>
      <c r="BD330" s="4"/>
      <c r="BE330" s="4"/>
      <c r="BF330" s="4"/>
      <c r="BO330" s="53" t="s">
        <v>266</v>
      </c>
      <c r="BP330" s="53" t="s">
        <v>1674</v>
      </c>
      <c r="BQ330" s="54">
        <v>45132</v>
      </c>
      <c r="BR330" s="53" t="s">
        <v>95</v>
      </c>
      <c r="BS330" s="53" t="s">
        <v>388</v>
      </c>
      <c r="BT330" s="53" t="s">
        <v>1673</v>
      </c>
      <c r="BU330" s="4"/>
    </row>
    <row r="331" spans="53:73" x14ac:dyDescent="0.3">
      <c r="BA331" s="4"/>
      <c r="BC331" s="4"/>
      <c r="BD331" s="4"/>
      <c r="BE331" s="4"/>
      <c r="BF331" s="4"/>
      <c r="BO331" s="53" t="s">
        <v>266</v>
      </c>
      <c r="BP331" s="53" t="s">
        <v>1676</v>
      </c>
      <c r="BQ331" s="54">
        <v>45139</v>
      </c>
      <c r="BR331" s="53" t="s">
        <v>95</v>
      </c>
      <c r="BS331" s="53" t="s">
        <v>334</v>
      </c>
      <c r="BT331" s="53" t="s">
        <v>1675</v>
      </c>
      <c r="BU331" s="4"/>
    </row>
    <row r="332" spans="53:73" x14ac:dyDescent="0.3">
      <c r="BA332" s="4"/>
      <c r="BC332" s="4"/>
      <c r="BD332" s="4"/>
      <c r="BE332" s="4"/>
      <c r="BF332" s="4"/>
      <c r="BO332" s="53" t="s">
        <v>291</v>
      </c>
      <c r="BP332" s="53" t="s">
        <v>1880</v>
      </c>
      <c r="BQ332" s="54">
        <v>45216</v>
      </c>
      <c r="BR332" s="53" t="s">
        <v>95</v>
      </c>
      <c r="BS332" s="53" t="s">
        <v>267</v>
      </c>
      <c r="BT332" s="53" t="s">
        <v>1879</v>
      </c>
      <c r="BU332" s="4"/>
    </row>
    <row r="333" spans="53:73" x14ac:dyDescent="0.3">
      <c r="BA333" s="4"/>
      <c r="BC333" s="4"/>
      <c r="BD333" s="4"/>
      <c r="BE333" s="4"/>
      <c r="BF333" s="4"/>
      <c r="BO333" s="53" t="s">
        <v>291</v>
      </c>
      <c r="BP333" s="53" t="s">
        <v>1681</v>
      </c>
      <c r="BQ333" s="54">
        <v>45142</v>
      </c>
      <c r="BR333" s="53" t="s">
        <v>95</v>
      </c>
      <c r="BS333" s="53" t="s">
        <v>1218</v>
      </c>
      <c r="BT333" s="53" t="s">
        <v>1680</v>
      </c>
      <c r="BU333" s="4"/>
    </row>
    <row r="334" spans="53:73" x14ac:dyDescent="0.3">
      <c r="BA334" s="4"/>
      <c r="BC334" s="4"/>
      <c r="BD334" s="4"/>
      <c r="BE334" s="4"/>
      <c r="BF334" s="4"/>
      <c r="BO334" s="53" t="s">
        <v>1020</v>
      </c>
      <c r="BP334" s="53" t="s">
        <v>1583</v>
      </c>
      <c r="BQ334" s="54">
        <v>45146</v>
      </c>
      <c r="BR334" s="53" t="s">
        <v>95</v>
      </c>
      <c r="BS334" s="53" t="s">
        <v>1584</v>
      </c>
      <c r="BT334" s="53" t="s">
        <v>1582</v>
      </c>
      <c r="BU334" s="4"/>
    </row>
    <row r="335" spans="53:73" x14ac:dyDescent="0.3">
      <c r="BA335" s="4"/>
      <c r="BC335" s="4"/>
      <c r="BD335" s="4"/>
      <c r="BE335" s="4"/>
      <c r="BF335" s="4"/>
      <c r="BO335" s="53" t="s">
        <v>94</v>
      </c>
      <c r="BP335" s="53" t="s">
        <v>2040</v>
      </c>
      <c r="BQ335" s="54">
        <v>45257</v>
      </c>
      <c r="BR335" s="53" t="s">
        <v>95</v>
      </c>
      <c r="BS335" s="53" t="s">
        <v>1719</v>
      </c>
      <c r="BT335" s="53" t="s">
        <v>2039</v>
      </c>
      <c r="BU335" s="4"/>
    </row>
    <row r="336" spans="53:73" x14ac:dyDescent="0.3">
      <c r="BA336" s="4"/>
      <c r="BC336" s="4"/>
      <c r="BD336" s="4"/>
      <c r="BE336" s="4"/>
      <c r="BF336" s="4"/>
      <c r="BO336" s="53" t="s">
        <v>84</v>
      </c>
      <c r="BP336" s="53" t="s">
        <v>1740</v>
      </c>
      <c r="BQ336" s="54">
        <v>45153</v>
      </c>
      <c r="BR336" s="53" t="s">
        <v>95</v>
      </c>
      <c r="BS336" s="53" t="s">
        <v>1589</v>
      </c>
      <c r="BT336" s="53" t="s">
        <v>1698</v>
      </c>
      <c r="BU336" s="4"/>
    </row>
    <row r="337" spans="53:73" x14ac:dyDescent="0.3">
      <c r="BA337" s="4"/>
      <c r="BC337" s="4"/>
      <c r="BD337" s="4"/>
      <c r="BE337" s="4"/>
      <c r="BF337" s="4"/>
      <c r="BO337" s="53" t="s">
        <v>266</v>
      </c>
      <c r="BP337" s="53" t="s">
        <v>1760</v>
      </c>
      <c r="BQ337" s="54">
        <v>45168</v>
      </c>
      <c r="BR337" s="53" t="s">
        <v>95</v>
      </c>
      <c r="BS337" s="53" t="s">
        <v>391</v>
      </c>
      <c r="BT337" s="53" t="s">
        <v>1759</v>
      </c>
      <c r="BU337" s="4"/>
    </row>
    <row r="338" spans="53:73" x14ac:dyDescent="0.3">
      <c r="BA338" s="4"/>
      <c r="BC338" s="4"/>
      <c r="BD338" s="4"/>
      <c r="BE338" s="4"/>
      <c r="BF338" s="4"/>
      <c r="BO338" s="53" t="s">
        <v>335</v>
      </c>
      <c r="BP338" s="53" t="s">
        <v>1735</v>
      </c>
      <c r="BQ338" s="54">
        <v>45174</v>
      </c>
      <c r="BR338" s="53" t="s">
        <v>95</v>
      </c>
      <c r="BS338" s="53" t="s">
        <v>1736</v>
      </c>
      <c r="BT338" s="53" t="s">
        <v>1734</v>
      </c>
      <c r="BU338" s="4"/>
    </row>
    <row r="339" spans="53:73" x14ac:dyDescent="0.3">
      <c r="BA339" s="4"/>
      <c r="BC339" s="4"/>
      <c r="BD339" s="4"/>
      <c r="BE339" s="4"/>
      <c r="BF339" s="4"/>
      <c r="BO339" s="53" t="s">
        <v>266</v>
      </c>
      <c r="BP339" s="53" t="s">
        <v>1788</v>
      </c>
      <c r="BQ339" s="54">
        <v>45187</v>
      </c>
      <c r="BR339" s="53" t="s">
        <v>95</v>
      </c>
      <c r="BS339" s="53" t="s">
        <v>388</v>
      </c>
      <c r="BT339" s="53" t="s">
        <v>1787</v>
      </c>
      <c r="BU339" s="4"/>
    </row>
    <row r="340" spans="53:73" x14ac:dyDescent="0.3">
      <c r="BA340" s="4"/>
      <c r="BC340" s="4"/>
      <c r="BD340" s="4"/>
      <c r="BE340" s="4"/>
      <c r="BF340" s="4"/>
      <c r="BG340" s="4"/>
      <c r="BO340" s="53" t="s">
        <v>114</v>
      </c>
      <c r="BP340" s="53" t="s">
        <v>1803</v>
      </c>
      <c r="BQ340" s="54">
        <v>45195</v>
      </c>
      <c r="BR340" s="53" t="s">
        <v>95</v>
      </c>
      <c r="BS340" s="53" t="s">
        <v>694</v>
      </c>
      <c r="BT340" s="53" t="s">
        <v>1802</v>
      </c>
    </row>
    <row r="341" spans="53:73" x14ac:dyDescent="0.3">
      <c r="BA341" s="4"/>
      <c r="BC341" s="4"/>
      <c r="BD341" s="4"/>
      <c r="BE341" s="4"/>
      <c r="BF341" s="4"/>
      <c r="BG341" s="4"/>
      <c r="BO341" s="53" t="s">
        <v>114</v>
      </c>
      <c r="BP341" s="53" t="s">
        <v>1814</v>
      </c>
      <c r="BQ341" s="54">
        <v>45197</v>
      </c>
      <c r="BR341" s="53" t="s">
        <v>95</v>
      </c>
      <c r="BS341" s="53" t="s">
        <v>1815</v>
      </c>
      <c r="BT341" s="53" t="s">
        <v>1813</v>
      </c>
    </row>
    <row r="342" spans="53:73" x14ac:dyDescent="0.3">
      <c r="BA342" s="4"/>
      <c r="BC342" s="4"/>
      <c r="BD342" s="4"/>
      <c r="BE342" s="4"/>
      <c r="BF342" s="4"/>
      <c r="BG342" s="4"/>
      <c r="BO342" s="53" t="s">
        <v>84</v>
      </c>
      <c r="BP342" s="53" t="s">
        <v>1807</v>
      </c>
      <c r="BQ342" s="54">
        <v>45201</v>
      </c>
      <c r="BR342" s="53" t="s">
        <v>95</v>
      </c>
      <c r="BS342" s="53" t="s">
        <v>397</v>
      </c>
      <c r="BT342" s="53" t="s">
        <v>1806</v>
      </c>
    </row>
    <row r="343" spans="53:73" x14ac:dyDescent="0.3">
      <c r="BA343" s="4"/>
      <c r="BC343" s="4"/>
      <c r="BD343" s="4"/>
      <c r="BE343" s="4"/>
      <c r="BF343" s="4"/>
      <c r="BG343" s="4"/>
      <c r="BO343" s="53" t="s">
        <v>84</v>
      </c>
      <c r="BP343" s="53" t="s">
        <v>1809</v>
      </c>
      <c r="BQ343" s="54">
        <v>45201</v>
      </c>
      <c r="BR343" s="53" t="s">
        <v>95</v>
      </c>
      <c r="BS343" s="53" t="s">
        <v>1810</v>
      </c>
      <c r="BT343" s="53" t="s">
        <v>1808</v>
      </c>
    </row>
    <row r="344" spans="53:73" x14ac:dyDescent="0.3">
      <c r="BA344" s="4"/>
      <c r="BC344" s="4"/>
      <c r="BD344" s="4"/>
      <c r="BE344" s="4"/>
      <c r="BF344" s="4"/>
      <c r="BG344" s="4"/>
      <c r="BO344" s="53" t="s">
        <v>114</v>
      </c>
      <c r="BP344" s="53" t="s">
        <v>1989</v>
      </c>
      <c r="BQ344" s="54">
        <v>45203</v>
      </c>
      <c r="BR344" s="53" t="s">
        <v>95</v>
      </c>
      <c r="BS344" s="53" t="s">
        <v>1581</v>
      </c>
      <c r="BT344" s="53" t="s">
        <v>1842</v>
      </c>
    </row>
    <row r="345" spans="53:73" x14ac:dyDescent="0.3">
      <c r="BA345" s="4"/>
      <c r="BC345" s="4"/>
      <c r="BD345" s="4"/>
      <c r="BE345" s="4"/>
      <c r="BF345" s="4"/>
      <c r="BG345" s="4"/>
      <c r="BO345" s="53" t="s">
        <v>266</v>
      </c>
      <c r="BP345" s="53" t="s">
        <v>1878</v>
      </c>
      <c r="BQ345" s="54">
        <v>45208</v>
      </c>
      <c r="BR345" s="53" t="s">
        <v>95</v>
      </c>
      <c r="BS345" s="53" t="s">
        <v>334</v>
      </c>
      <c r="BT345" s="53" t="s">
        <v>1877</v>
      </c>
    </row>
    <row r="346" spans="53:73" x14ac:dyDescent="0.3">
      <c r="BA346" s="4"/>
      <c r="BC346" s="4"/>
      <c r="BD346" s="4"/>
      <c r="BE346" s="4"/>
      <c r="BF346" s="4"/>
      <c r="BG346" s="4"/>
      <c r="BO346" s="53" t="s">
        <v>84</v>
      </c>
      <c r="BP346" s="53" t="s">
        <v>1838</v>
      </c>
      <c r="BQ346" s="54">
        <v>45216</v>
      </c>
      <c r="BR346" s="53" t="s">
        <v>95</v>
      </c>
      <c r="BS346" s="53" t="s">
        <v>1839</v>
      </c>
      <c r="BT346" s="53" t="s">
        <v>1837</v>
      </c>
    </row>
    <row r="347" spans="53:73" x14ac:dyDescent="0.3">
      <c r="BA347" s="4"/>
      <c r="BC347" s="4"/>
      <c r="BD347" s="4"/>
      <c r="BE347" s="4"/>
      <c r="BF347" s="4"/>
      <c r="BG347" s="4"/>
      <c r="BO347" s="53" t="s">
        <v>335</v>
      </c>
      <c r="BP347" s="53" t="s">
        <v>1580</v>
      </c>
      <c r="BQ347" s="54">
        <v>45222</v>
      </c>
      <c r="BR347" s="53" t="s">
        <v>95</v>
      </c>
      <c r="BS347" s="53" t="s">
        <v>187</v>
      </c>
      <c r="BT347" s="53" t="s">
        <v>1899</v>
      </c>
    </row>
    <row r="348" spans="53:73" x14ac:dyDescent="0.3">
      <c r="BA348" s="4"/>
      <c r="BC348" s="4"/>
      <c r="BD348" s="4"/>
      <c r="BE348" s="4"/>
      <c r="BF348" s="4"/>
      <c r="BG348" s="4"/>
      <c r="BO348" s="53" t="s">
        <v>114</v>
      </c>
      <c r="BP348" s="53" t="s">
        <v>1903</v>
      </c>
      <c r="BQ348" s="54">
        <v>45222</v>
      </c>
      <c r="BR348" s="53" t="s">
        <v>95</v>
      </c>
      <c r="BS348" s="53" t="s">
        <v>187</v>
      </c>
      <c r="BT348" s="53" t="s">
        <v>1902</v>
      </c>
    </row>
    <row r="349" spans="53:73" x14ac:dyDescent="0.3">
      <c r="BA349" s="4"/>
      <c r="BC349" s="4"/>
      <c r="BD349" s="4"/>
      <c r="BE349" s="4"/>
      <c r="BF349" s="4"/>
      <c r="BG349" s="4"/>
      <c r="BO349" s="53" t="s">
        <v>114</v>
      </c>
      <c r="BP349" s="53" t="s">
        <v>1905</v>
      </c>
      <c r="BQ349" s="54">
        <v>45222</v>
      </c>
      <c r="BR349" s="53" t="s">
        <v>95</v>
      </c>
      <c r="BS349" s="53" t="s">
        <v>187</v>
      </c>
      <c r="BT349" s="53" t="s">
        <v>1904</v>
      </c>
    </row>
    <row r="350" spans="53:73" x14ac:dyDescent="0.3">
      <c r="BA350" s="4"/>
      <c r="BC350" s="4"/>
      <c r="BD350" s="4"/>
      <c r="BE350" s="4"/>
      <c r="BF350" s="4"/>
      <c r="BG350" s="4"/>
      <c r="BO350" s="53" t="s">
        <v>291</v>
      </c>
      <c r="BP350" s="53" t="s">
        <v>1964</v>
      </c>
      <c r="BQ350" s="54">
        <v>45236</v>
      </c>
      <c r="BR350" s="53" t="s">
        <v>95</v>
      </c>
      <c r="BS350" s="53" t="s">
        <v>412</v>
      </c>
      <c r="BT350" s="53" t="s">
        <v>1963</v>
      </c>
    </row>
    <row r="351" spans="53:73" x14ac:dyDescent="0.3">
      <c r="BA351" s="4"/>
      <c r="BC351" s="4"/>
      <c r="BD351" s="4"/>
      <c r="BE351" s="4"/>
      <c r="BF351" s="4"/>
      <c r="BG351" s="4"/>
      <c r="BO351" s="53" t="s">
        <v>114</v>
      </c>
      <c r="BP351" s="53" t="s">
        <v>1956</v>
      </c>
      <c r="BQ351" s="54">
        <v>45238</v>
      </c>
      <c r="BR351" s="53" t="s">
        <v>95</v>
      </c>
      <c r="BS351" s="53" t="s">
        <v>1488</v>
      </c>
      <c r="BT351" s="53" t="s">
        <v>1955</v>
      </c>
    </row>
    <row r="352" spans="53:73" x14ac:dyDescent="0.3">
      <c r="BA352" s="4"/>
      <c r="BC352" s="4"/>
      <c r="BD352" s="4"/>
      <c r="BE352" s="4"/>
      <c r="BF352" s="4"/>
      <c r="BG352" s="4"/>
      <c r="BO352" s="53" t="s">
        <v>335</v>
      </c>
      <c r="BP352" s="53" t="s">
        <v>1947</v>
      </c>
      <c r="BQ352" s="54">
        <v>45238</v>
      </c>
      <c r="BR352" s="53" t="s">
        <v>95</v>
      </c>
      <c r="BS352" s="53" t="s">
        <v>1949</v>
      </c>
      <c r="BT352" s="53" t="s">
        <v>1948</v>
      </c>
    </row>
    <row r="353" spans="53:72" x14ac:dyDescent="0.3">
      <c r="BA353" s="4"/>
      <c r="BC353" s="4"/>
      <c r="BD353" s="4"/>
      <c r="BE353" s="4"/>
      <c r="BF353" s="4"/>
      <c r="BG353" s="4"/>
      <c r="BO353" s="53" t="s">
        <v>94</v>
      </c>
      <c r="BP353" s="53" t="s">
        <v>1985</v>
      </c>
      <c r="BQ353" s="54">
        <v>45196</v>
      </c>
      <c r="BR353" s="53" t="s">
        <v>95</v>
      </c>
      <c r="BS353" s="53" t="s">
        <v>1986</v>
      </c>
      <c r="BT353" s="53" t="s">
        <v>1984</v>
      </c>
    </row>
    <row r="354" spans="53:72" x14ac:dyDescent="0.3">
      <c r="BA354" s="4"/>
      <c r="BC354" s="4"/>
      <c r="BD354" s="4"/>
      <c r="BE354" s="4"/>
      <c r="BF354" s="4"/>
      <c r="BG354" s="4"/>
      <c r="BO354" s="53" t="s">
        <v>114</v>
      </c>
      <c r="BP354" s="53" t="s">
        <v>1979</v>
      </c>
      <c r="BQ354" s="54">
        <v>45245</v>
      </c>
      <c r="BR354" s="53" t="s">
        <v>95</v>
      </c>
      <c r="BS354" s="53" t="s">
        <v>344</v>
      </c>
      <c r="BT354" s="53" t="s">
        <v>1978</v>
      </c>
    </row>
    <row r="355" spans="53:72" x14ac:dyDescent="0.3">
      <c r="BA355" s="4"/>
      <c r="BC355" s="4"/>
      <c r="BD355" s="4"/>
      <c r="BE355" s="4"/>
      <c r="BF355" s="4"/>
      <c r="BG355" s="4"/>
      <c r="BO355" s="53" t="s">
        <v>335</v>
      </c>
      <c r="BP355" s="53" t="s">
        <v>2050</v>
      </c>
      <c r="BQ355" s="54">
        <v>45266</v>
      </c>
      <c r="BR355" s="53" t="s">
        <v>95</v>
      </c>
      <c r="BS355" s="53" t="s">
        <v>205</v>
      </c>
      <c r="BT355" s="53" t="s">
        <v>2049</v>
      </c>
    </row>
    <row r="356" spans="53:72" x14ac:dyDescent="0.3">
      <c r="BA356" s="4"/>
      <c r="BC356" s="4"/>
      <c r="BD356" s="4"/>
      <c r="BE356" s="4"/>
      <c r="BF356" s="4"/>
      <c r="BG356" s="4"/>
      <c r="BO356" s="53" t="s">
        <v>266</v>
      </c>
      <c r="BP356" s="53" t="s">
        <v>2134</v>
      </c>
      <c r="BQ356" s="54">
        <v>45306</v>
      </c>
      <c r="BR356" s="53" t="s">
        <v>95</v>
      </c>
      <c r="BS356" s="53" t="s">
        <v>341</v>
      </c>
      <c r="BT356" s="53" t="s">
        <v>2133</v>
      </c>
    </row>
    <row r="357" spans="53:72" x14ac:dyDescent="0.3">
      <c r="BA357" s="4"/>
      <c r="BC357" s="4"/>
      <c r="BD357" s="4"/>
      <c r="BE357" s="4"/>
      <c r="BF357" s="4"/>
      <c r="BG357" s="4"/>
      <c r="BO357" s="53" t="s">
        <v>291</v>
      </c>
      <c r="BP357" s="53" t="s">
        <v>2136</v>
      </c>
      <c r="BQ357" s="54">
        <v>45306</v>
      </c>
      <c r="BR357" s="53" t="s">
        <v>95</v>
      </c>
      <c r="BS357" s="53" t="s">
        <v>1679</v>
      </c>
      <c r="BT357" s="53" t="s">
        <v>2135</v>
      </c>
    </row>
    <row r="358" spans="53:72" x14ac:dyDescent="0.3">
      <c r="BA358" s="4"/>
      <c r="BC358" s="4"/>
      <c r="BD358" s="4"/>
      <c r="BE358" s="4"/>
      <c r="BF358" s="4"/>
      <c r="BG358" s="4"/>
      <c r="BO358" s="53" t="s">
        <v>94</v>
      </c>
      <c r="BP358" s="53" t="s">
        <v>1397</v>
      </c>
      <c r="BQ358" s="54">
        <v>44957</v>
      </c>
      <c r="BR358" s="53" t="s">
        <v>95</v>
      </c>
      <c r="BS358" s="53" t="s">
        <v>205</v>
      </c>
      <c r="BT358" s="53" t="s">
        <v>1396</v>
      </c>
    </row>
    <row r="359" spans="53:72" x14ac:dyDescent="0.3">
      <c r="BA359" s="4"/>
      <c r="BC359" s="4"/>
      <c r="BD359" s="4"/>
      <c r="BE359" s="4"/>
      <c r="BF359" s="4"/>
      <c r="BG359" s="4"/>
      <c r="BO359" s="53" t="s">
        <v>94</v>
      </c>
      <c r="BP359" s="53" t="s">
        <v>1887</v>
      </c>
      <c r="BQ359" s="54">
        <v>45204</v>
      </c>
      <c r="BR359" s="53" t="s">
        <v>95</v>
      </c>
      <c r="BS359" s="53" t="s">
        <v>1545</v>
      </c>
      <c r="BT359" s="53" t="s">
        <v>1886</v>
      </c>
    </row>
    <row r="360" spans="53:72" x14ac:dyDescent="0.3">
      <c r="BA360" s="4"/>
      <c r="BC360" s="4"/>
      <c r="BD360" s="4"/>
      <c r="BE360" s="4"/>
      <c r="BF360" s="4"/>
      <c r="BG360" s="4"/>
      <c r="BO360" s="53" t="s">
        <v>94</v>
      </c>
      <c r="BP360" s="53" t="s">
        <v>1439</v>
      </c>
      <c r="BQ360" s="54">
        <v>45033</v>
      </c>
      <c r="BR360" s="53" t="s">
        <v>95</v>
      </c>
      <c r="BS360" s="53" t="s">
        <v>205</v>
      </c>
      <c r="BT360" s="53" t="s">
        <v>1429</v>
      </c>
    </row>
    <row r="361" spans="53:72" x14ac:dyDescent="0.3">
      <c r="BA361" s="4"/>
      <c r="BC361" s="4"/>
      <c r="BD361" s="4"/>
      <c r="BE361" s="4"/>
      <c r="BF361" s="4"/>
      <c r="BG361" s="4"/>
      <c r="BO361" s="53" t="s">
        <v>94</v>
      </c>
      <c r="BP361" s="53" t="s">
        <v>2110</v>
      </c>
      <c r="BQ361" s="54">
        <v>45278</v>
      </c>
      <c r="BR361" s="53" t="s">
        <v>95</v>
      </c>
      <c r="BS361" s="53" t="s">
        <v>128</v>
      </c>
      <c r="BT361" s="53" t="s">
        <v>2109</v>
      </c>
    </row>
    <row r="362" spans="53:72" x14ac:dyDescent="0.3">
      <c r="BA362" s="4"/>
      <c r="BC362" s="4"/>
      <c r="BD362" s="4"/>
      <c r="BE362" s="4"/>
      <c r="BF362" s="4"/>
      <c r="BG362" s="4"/>
      <c r="BO362" s="53" t="s">
        <v>94</v>
      </c>
      <c r="BP362" s="53" t="s">
        <v>1241</v>
      </c>
      <c r="BQ362" s="54">
        <v>44782</v>
      </c>
      <c r="BR362" s="53" t="s">
        <v>95</v>
      </c>
      <c r="BS362" s="53" t="s">
        <v>1242</v>
      </c>
      <c r="BT362" s="53" t="s">
        <v>1240</v>
      </c>
    </row>
    <row r="363" spans="53:72" x14ac:dyDescent="0.3">
      <c r="BA363" s="4"/>
      <c r="BC363" s="4"/>
      <c r="BD363" s="4"/>
      <c r="BE363" s="4"/>
      <c r="BF363" s="4"/>
      <c r="BG363" s="4"/>
      <c r="BO363" s="53" t="s">
        <v>428</v>
      </c>
      <c r="BP363" s="53" t="s">
        <v>429</v>
      </c>
      <c r="BQ363" s="54">
        <v>36510</v>
      </c>
      <c r="BR363" s="53" t="s">
        <v>430</v>
      </c>
      <c r="BS363" s="53" t="s">
        <v>85</v>
      </c>
      <c r="BT363" s="53" t="s">
        <v>431</v>
      </c>
    </row>
    <row r="364" spans="53:72" x14ac:dyDescent="0.3">
      <c r="BA364" s="4"/>
      <c r="BC364" s="4"/>
      <c r="BD364" s="4"/>
      <c r="BE364" s="4"/>
      <c r="BF364" s="4"/>
      <c r="BG364" s="4"/>
      <c r="BO364" s="53" t="s">
        <v>335</v>
      </c>
      <c r="BP364" s="53" t="s">
        <v>432</v>
      </c>
      <c r="BQ364" s="54">
        <v>36535</v>
      </c>
      <c r="BR364" s="53" t="s">
        <v>430</v>
      </c>
      <c r="BS364" s="53" t="s">
        <v>85</v>
      </c>
      <c r="BT364" s="53" t="s">
        <v>433</v>
      </c>
    </row>
    <row r="365" spans="53:72" x14ac:dyDescent="0.3">
      <c r="BA365" s="4"/>
      <c r="BC365" s="4"/>
      <c r="BD365" s="4"/>
      <c r="BE365" s="4"/>
      <c r="BF365" s="4"/>
      <c r="BG365" s="4"/>
      <c r="BO365" s="53" t="s">
        <v>94</v>
      </c>
      <c r="BP365" s="53" t="s">
        <v>434</v>
      </c>
      <c r="BQ365" s="54">
        <v>37347</v>
      </c>
      <c r="BR365" s="53" t="s">
        <v>430</v>
      </c>
      <c r="BS365" s="53" t="s">
        <v>85</v>
      </c>
      <c r="BT365" s="53" t="s">
        <v>435</v>
      </c>
    </row>
    <row r="366" spans="53:72" x14ac:dyDescent="0.3">
      <c r="BA366" s="4"/>
      <c r="BC366" s="4"/>
      <c r="BD366" s="4"/>
      <c r="BE366" s="4"/>
      <c r="BF366" s="4"/>
      <c r="BG366" s="4"/>
      <c r="BO366" s="53" t="s">
        <v>194</v>
      </c>
      <c r="BP366" s="53" t="s">
        <v>436</v>
      </c>
      <c r="BQ366" s="54">
        <v>39539</v>
      </c>
      <c r="BR366" s="53" t="s">
        <v>430</v>
      </c>
      <c r="BS366" s="53" t="s">
        <v>85</v>
      </c>
      <c r="BT366" s="53" t="s">
        <v>437</v>
      </c>
    </row>
    <row r="367" spans="53:72" x14ac:dyDescent="0.3">
      <c r="BA367" s="4"/>
      <c r="BC367" s="4"/>
      <c r="BD367" s="4"/>
      <c r="BE367" s="4"/>
      <c r="BF367" s="4"/>
      <c r="BG367" s="4"/>
      <c r="BO367" s="53" t="s">
        <v>438</v>
      </c>
      <c r="BP367" s="53" t="s">
        <v>439</v>
      </c>
      <c r="BQ367" s="54">
        <v>37351</v>
      </c>
      <c r="BR367" s="53" t="s">
        <v>430</v>
      </c>
      <c r="BS367" s="53" t="s">
        <v>85</v>
      </c>
      <c r="BT367" s="53" t="s">
        <v>440</v>
      </c>
    </row>
    <row r="368" spans="53:72" x14ac:dyDescent="0.3">
      <c r="BA368" s="4"/>
      <c r="BC368" s="4"/>
      <c r="BD368" s="4"/>
      <c r="BE368" s="4"/>
      <c r="BF368" s="4"/>
      <c r="BG368" s="4"/>
      <c r="BO368" s="53" t="s">
        <v>438</v>
      </c>
      <c r="BP368" s="53" t="s">
        <v>441</v>
      </c>
      <c r="BQ368" s="54">
        <v>40051</v>
      </c>
      <c r="BR368" s="53" t="s">
        <v>430</v>
      </c>
      <c r="BS368" s="53" t="s">
        <v>442</v>
      </c>
      <c r="BT368" s="53" t="s">
        <v>443</v>
      </c>
    </row>
    <row r="369" spans="53:72" x14ac:dyDescent="0.3">
      <c r="BA369" s="4"/>
      <c r="BC369" s="4"/>
      <c r="BD369" s="4"/>
      <c r="BE369" s="4"/>
      <c r="BF369" s="4"/>
      <c r="BG369" s="4"/>
      <c r="BO369" s="53" t="s">
        <v>438</v>
      </c>
      <c r="BP369" s="53" t="s">
        <v>444</v>
      </c>
      <c r="BQ369" s="54">
        <v>37781</v>
      </c>
      <c r="BR369" s="53" t="s">
        <v>430</v>
      </c>
      <c r="BS369" s="53" t="s">
        <v>85</v>
      </c>
      <c r="BT369" s="53" t="s">
        <v>445</v>
      </c>
    </row>
    <row r="370" spans="53:72" x14ac:dyDescent="0.3">
      <c r="BA370" s="4"/>
      <c r="BC370" s="4"/>
      <c r="BD370" s="4"/>
      <c r="BE370" s="4"/>
      <c r="BF370" s="4"/>
      <c r="BG370" s="4"/>
      <c r="BO370" s="53" t="s">
        <v>438</v>
      </c>
      <c r="BP370" s="53" t="s">
        <v>446</v>
      </c>
      <c r="BQ370" s="54">
        <v>37841</v>
      </c>
      <c r="BR370" s="53" t="s">
        <v>430</v>
      </c>
      <c r="BS370" s="53" t="s">
        <v>85</v>
      </c>
      <c r="BT370" s="53" t="s">
        <v>447</v>
      </c>
    </row>
    <row r="371" spans="53:72" x14ac:dyDescent="0.3">
      <c r="BA371" s="4"/>
      <c r="BC371" s="4"/>
      <c r="BD371" s="4"/>
      <c r="BE371" s="4"/>
      <c r="BF371" s="4"/>
      <c r="BG371" s="4"/>
      <c r="BO371" s="53" t="s">
        <v>438</v>
      </c>
      <c r="BP371" s="53" t="s">
        <v>448</v>
      </c>
      <c r="BQ371" s="54">
        <v>37841</v>
      </c>
      <c r="BR371" s="53" t="s">
        <v>430</v>
      </c>
      <c r="BS371" s="53" t="s">
        <v>85</v>
      </c>
      <c r="BT371" s="53" t="s">
        <v>449</v>
      </c>
    </row>
    <row r="372" spans="53:72" x14ac:dyDescent="0.3">
      <c r="BA372" s="4"/>
      <c r="BC372" s="4"/>
      <c r="BD372" s="4"/>
      <c r="BE372" s="4"/>
      <c r="BF372" s="4"/>
      <c r="BG372" s="4"/>
      <c r="BO372" s="53" t="s">
        <v>438</v>
      </c>
      <c r="BP372" s="53" t="s">
        <v>450</v>
      </c>
      <c r="BQ372" s="54">
        <v>41859</v>
      </c>
      <c r="BR372" s="53" t="s">
        <v>430</v>
      </c>
      <c r="BS372" s="53" t="s">
        <v>85</v>
      </c>
      <c r="BT372" s="53" t="s">
        <v>451</v>
      </c>
    </row>
    <row r="373" spans="53:72" x14ac:dyDescent="0.3">
      <c r="BA373" s="4"/>
      <c r="BC373" s="4"/>
      <c r="BD373" s="4"/>
      <c r="BE373" s="4"/>
      <c r="BF373" s="4"/>
      <c r="BG373" s="4"/>
      <c r="BO373" s="53" t="s">
        <v>438</v>
      </c>
      <c r="BP373" s="53" t="s">
        <v>452</v>
      </c>
      <c r="BQ373" s="54">
        <v>39555</v>
      </c>
      <c r="BR373" s="53" t="s">
        <v>430</v>
      </c>
      <c r="BS373" s="53" t="s">
        <v>85</v>
      </c>
      <c r="BT373" s="53" t="s">
        <v>453</v>
      </c>
    </row>
    <row r="374" spans="53:72" x14ac:dyDescent="0.3">
      <c r="BA374" s="4"/>
      <c r="BC374" s="4"/>
      <c r="BD374" s="4"/>
      <c r="BE374" s="4"/>
      <c r="BF374" s="4"/>
      <c r="BG374" s="4"/>
      <c r="BO374" s="53" t="s">
        <v>438</v>
      </c>
      <c r="BP374" s="53" t="s">
        <v>454</v>
      </c>
      <c r="BQ374" s="54">
        <v>40388</v>
      </c>
      <c r="BR374" s="53" t="s">
        <v>430</v>
      </c>
      <c r="BS374" s="53" t="s">
        <v>85</v>
      </c>
      <c r="BT374" s="53" t="s">
        <v>455</v>
      </c>
    </row>
    <row r="375" spans="53:72" x14ac:dyDescent="0.3">
      <c r="BA375" s="4"/>
      <c r="BC375" s="4"/>
      <c r="BD375" s="4"/>
      <c r="BE375" s="4"/>
      <c r="BF375" s="4"/>
      <c r="BG375" s="4"/>
      <c r="BO375" s="53" t="s">
        <v>438</v>
      </c>
      <c r="BP375" s="53" t="s">
        <v>456</v>
      </c>
      <c r="BQ375" s="54">
        <v>42655</v>
      </c>
      <c r="BR375" s="53" t="s">
        <v>430</v>
      </c>
      <c r="BS375" s="53" t="s">
        <v>85</v>
      </c>
      <c r="BT375" s="53" t="s">
        <v>457</v>
      </c>
    </row>
    <row r="376" spans="53:72" x14ac:dyDescent="0.3">
      <c r="BA376" s="4"/>
      <c r="BC376" s="4"/>
      <c r="BD376" s="4"/>
      <c r="BE376" s="4"/>
      <c r="BF376" s="4"/>
      <c r="BG376" s="4"/>
      <c r="BO376" s="53" t="s">
        <v>438</v>
      </c>
      <c r="BP376" s="53" t="s">
        <v>458</v>
      </c>
      <c r="BQ376" s="54">
        <v>42831</v>
      </c>
      <c r="BR376" s="53" t="s">
        <v>430</v>
      </c>
      <c r="BS376" s="53" t="s">
        <v>85</v>
      </c>
      <c r="BT376" s="53" t="s">
        <v>459</v>
      </c>
    </row>
    <row r="377" spans="53:72" x14ac:dyDescent="0.3">
      <c r="BA377" s="4"/>
      <c r="BC377" s="4"/>
      <c r="BD377" s="4"/>
      <c r="BE377" s="4"/>
      <c r="BF377" s="4"/>
      <c r="BG377" s="4"/>
      <c r="BO377" s="53" t="s">
        <v>438</v>
      </c>
      <c r="BP377" s="53" t="s">
        <v>460</v>
      </c>
      <c r="BQ377" s="54">
        <v>43320</v>
      </c>
      <c r="BR377" s="53" t="s">
        <v>430</v>
      </c>
      <c r="BS377" s="53" t="s">
        <v>85</v>
      </c>
      <c r="BT377" s="53" t="s">
        <v>461</v>
      </c>
    </row>
    <row r="378" spans="53:72" x14ac:dyDescent="0.3">
      <c r="BA378" s="4"/>
      <c r="BC378" s="4"/>
      <c r="BD378" s="4"/>
      <c r="BE378" s="4"/>
      <c r="BF378" s="4"/>
      <c r="BG378" s="4"/>
      <c r="BO378" s="53" t="s">
        <v>438</v>
      </c>
      <c r="BP378" s="53" t="s">
        <v>462</v>
      </c>
      <c r="BQ378" s="54">
        <v>43342</v>
      </c>
      <c r="BR378" s="53" t="s">
        <v>430</v>
      </c>
      <c r="BS378" s="53" t="s">
        <v>85</v>
      </c>
      <c r="BT378" s="53" t="s">
        <v>463</v>
      </c>
    </row>
    <row r="379" spans="53:72" x14ac:dyDescent="0.3">
      <c r="BA379" s="4"/>
      <c r="BC379" s="4"/>
      <c r="BD379" s="4"/>
      <c r="BE379" s="4"/>
      <c r="BF379" s="4"/>
      <c r="BG379" s="4"/>
      <c r="BO379" s="53" t="s">
        <v>438</v>
      </c>
      <c r="BP379" s="53" t="s">
        <v>464</v>
      </c>
      <c r="BQ379" s="54">
        <v>43342</v>
      </c>
      <c r="BR379" s="53" t="s">
        <v>430</v>
      </c>
      <c r="BS379" s="53" t="s">
        <v>85</v>
      </c>
      <c r="BT379" s="53" t="s">
        <v>465</v>
      </c>
    </row>
    <row r="380" spans="53:72" x14ac:dyDescent="0.3">
      <c r="BA380" s="4"/>
      <c r="BC380" s="4"/>
      <c r="BD380" s="4"/>
      <c r="BE380" s="4"/>
      <c r="BF380" s="4"/>
      <c r="BG380" s="4"/>
      <c r="BO380" s="53" t="s">
        <v>438</v>
      </c>
      <c r="BP380" s="53" t="s">
        <v>466</v>
      </c>
      <c r="BQ380" s="54">
        <v>43445</v>
      </c>
      <c r="BR380" s="53" t="s">
        <v>430</v>
      </c>
      <c r="BS380" s="53" t="s">
        <v>85</v>
      </c>
      <c r="BT380" s="53" t="s">
        <v>467</v>
      </c>
    </row>
    <row r="381" spans="53:72" x14ac:dyDescent="0.3">
      <c r="BA381" s="4"/>
      <c r="BC381" s="4"/>
      <c r="BD381" s="4"/>
      <c r="BE381" s="4"/>
      <c r="BF381" s="4"/>
      <c r="BG381" s="4"/>
      <c r="BO381" s="53" t="s">
        <v>438</v>
      </c>
      <c r="BP381" s="53" t="s">
        <v>468</v>
      </c>
      <c r="BQ381" s="54">
        <v>43445</v>
      </c>
      <c r="BR381" s="53" t="s">
        <v>430</v>
      </c>
      <c r="BS381" s="53" t="s">
        <v>85</v>
      </c>
      <c r="BT381" s="53" t="s">
        <v>469</v>
      </c>
    </row>
    <row r="382" spans="53:72" x14ac:dyDescent="0.3">
      <c r="BA382" s="4"/>
      <c r="BC382" s="4"/>
      <c r="BD382" s="4"/>
      <c r="BE382" s="4"/>
      <c r="BF382" s="4"/>
      <c r="BG382" s="4"/>
      <c r="BO382" s="53" t="s">
        <v>438</v>
      </c>
      <c r="BP382" s="53" t="s">
        <v>470</v>
      </c>
      <c r="BQ382" s="54">
        <v>43482</v>
      </c>
      <c r="BR382" s="53" t="s">
        <v>430</v>
      </c>
      <c r="BS382" s="53" t="s">
        <v>85</v>
      </c>
      <c r="BT382" s="53" t="s">
        <v>471</v>
      </c>
    </row>
    <row r="383" spans="53:72" x14ac:dyDescent="0.3">
      <c r="BA383" s="4"/>
      <c r="BC383" s="4"/>
      <c r="BD383" s="4"/>
      <c r="BE383" s="4"/>
      <c r="BF383" s="4"/>
      <c r="BG383" s="4"/>
      <c r="BO383" s="53" t="s">
        <v>438</v>
      </c>
      <c r="BP383" s="53" t="s">
        <v>472</v>
      </c>
      <c r="BQ383" s="54">
        <v>43494</v>
      </c>
      <c r="BR383" s="53" t="s">
        <v>430</v>
      </c>
      <c r="BS383" s="53" t="s">
        <v>85</v>
      </c>
      <c r="BT383" s="53" t="s">
        <v>473</v>
      </c>
    </row>
    <row r="384" spans="53:72" x14ac:dyDescent="0.3">
      <c r="BA384" s="4"/>
      <c r="BC384" s="4"/>
      <c r="BD384" s="4"/>
      <c r="BE384" s="4"/>
      <c r="BF384" s="4"/>
      <c r="BG384" s="4"/>
      <c r="BO384" s="53" t="s">
        <v>438</v>
      </c>
      <c r="BP384" s="53" t="s">
        <v>474</v>
      </c>
      <c r="BQ384" s="54">
        <v>43523</v>
      </c>
      <c r="BR384" s="53" t="s">
        <v>430</v>
      </c>
      <c r="BS384" s="53" t="s">
        <v>85</v>
      </c>
      <c r="BT384" s="53" t="s">
        <v>475</v>
      </c>
    </row>
    <row r="385" spans="53:72" x14ac:dyDescent="0.3">
      <c r="BA385" s="4"/>
      <c r="BC385" s="4"/>
      <c r="BD385" s="4"/>
      <c r="BE385" s="4"/>
      <c r="BF385" s="4"/>
      <c r="BG385" s="4"/>
      <c r="BO385" s="53" t="s">
        <v>438</v>
      </c>
      <c r="BP385" s="53" t="s">
        <v>914</v>
      </c>
      <c r="BQ385" s="54">
        <v>44614</v>
      </c>
      <c r="BR385" s="53" t="s">
        <v>430</v>
      </c>
      <c r="BS385" s="53" t="s">
        <v>85</v>
      </c>
      <c r="BT385" s="53" t="s">
        <v>913</v>
      </c>
    </row>
    <row r="386" spans="53:72" x14ac:dyDescent="0.3">
      <c r="BA386" s="4"/>
      <c r="BC386" s="4"/>
      <c r="BD386" s="4"/>
      <c r="BE386" s="4"/>
      <c r="BF386" s="4"/>
      <c r="BG386" s="4"/>
      <c r="BO386" s="53" t="s">
        <v>438</v>
      </c>
      <c r="BP386" s="53" t="s">
        <v>476</v>
      </c>
      <c r="BQ386" s="54">
        <v>37761</v>
      </c>
      <c r="BR386" s="53" t="s">
        <v>430</v>
      </c>
      <c r="BS386" s="53" t="s">
        <v>85</v>
      </c>
      <c r="BT386" s="53" t="s">
        <v>477</v>
      </c>
    </row>
    <row r="387" spans="53:72" x14ac:dyDescent="0.3">
      <c r="BA387" s="4"/>
      <c r="BC387" s="4"/>
      <c r="BD387" s="4"/>
      <c r="BE387" s="4"/>
      <c r="BF387" s="4"/>
      <c r="BG387" s="4"/>
      <c r="BO387" s="53" t="s">
        <v>94</v>
      </c>
      <c r="BP387" s="53" t="s">
        <v>478</v>
      </c>
      <c r="BQ387" s="54">
        <v>44083</v>
      </c>
      <c r="BR387" s="53" t="s">
        <v>430</v>
      </c>
      <c r="BS387" s="53" t="s">
        <v>195</v>
      </c>
      <c r="BT387" s="53" t="s">
        <v>479</v>
      </c>
    </row>
    <row r="388" spans="53:72" x14ac:dyDescent="0.3">
      <c r="BA388" s="4"/>
      <c r="BC388" s="4"/>
      <c r="BD388" s="4"/>
      <c r="BE388" s="4"/>
      <c r="BF388" s="4"/>
      <c r="BG388" s="4"/>
      <c r="BO388" s="53" t="s">
        <v>94</v>
      </c>
      <c r="BP388" s="53" t="s">
        <v>480</v>
      </c>
      <c r="BQ388" s="54">
        <v>43915</v>
      </c>
      <c r="BR388" s="53" t="s">
        <v>430</v>
      </c>
      <c r="BS388" s="53" t="s">
        <v>85</v>
      </c>
      <c r="BT388" s="53" t="s">
        <v>481</v>
      </c>
    </row>
    <row r="389" spans="53:72" x14ac:dyDescent="0.3">
      <c r="BA389" s="4"/>
      <c r="BC389" s="4"/>
      <c r="BD389" s="4"/>
      <c r="BE389" s="4"/>
      <c r="BF389" s="4"/>
      <c r="BG389" s="4"/>
      <c r="BO389" s="53" t="s">
        <v>114</v>
      </c>
      <c r="BP389" s="53" t="s">
        <v>482</v>
      </c>
      <c r="BQ389" s="54">
        <v>37347</v>
      </c>
      <c r="BR389" s="53" t="s">
        <v>430</v>
      </c>
      <c r="BS389" s="53" t="s">
        <v>85</v>
      </c>
      <c r="BT389" s="53" t="s">
        <v>483</v>
      </c>
    </row>
    <row r="390" spans="53:72" x14ac:dyDescent="0.3">
      <c r="BA390" s="4"/>
      <c r="BC390" s="4"/>
      <c r="BD390" s="4"/>
      <c r="BE390" s="4"/>
      <c r="BF390" s="4"/>
      <c r="BG390" s="4"/>
      <c r="BO390" s="53" t="s">
        <v>428</v>
      </c>
      <c r="BP390" s="53" t="s">
        <v>484</v>
      </c>
      <c r="BQ390" s="54">
        <v>37347</v>
      </c>
      <c r="BR390" s="53" t="s">
        <v>430</v>
      </c>
      <c r="BS390" s="53" t="s">
        <v>85</v>
      </c>
      <c r="BT390" s="53" t="s">
        <v>485</v>
      </c>
    </row>
    <row r="391" spans="53:72" x14ac:dyDescent="0.3">
      <c r="BA391" s="4"/>
      <c r="BC391" s="4"/>
      <c r="BD391" s="4"/>
      <c r="BE391" s="4"/>
      <c r="BF391" s="4"/>
      <c r="BG391" s="4"/>
      <c r="BO391" s="53" t="s">
        <v>94</v>
      </c>
      <c r="BP391" s="53" t="s">
        <v>486</v>
      </c>
      <c r="BQ391" s="54">
        <v>37347</v>
      </c>
      <c r="BR391" s="53" t="s">
        <v>430</v>
      </c>
      <c r="BS391" s="53" t="s">
        <v>85</v>
      </c>
      <c r="BT391" s="53" t="s">
        <v>487</v>
      </c>
    </row>
    <row r="392" spans="53:72" x14ac:dyDescent="0.3">
      <c r="BA392" s="4"/>
      <c r="BC392" s="4"/>
      <c r="BD392" s="4"/>
      <c r="BE392" s="4"/>
      <c r="BF392" s="4"/>
      <c r="BG392" s="4"/>
      <c r="BO392" s="53" t="s">
        <v>114</v>
      </c>
      <c r="BP392" s="53" t="s">
        <v>488</v>
      </c>
      <c r="BQ392" s="54">
        <v>37347</v>
      </c>
      <c r="BR392" s="53" t="s">
        <v>430</v>
      </c>
      <c r="BS392" s="53" t="s">
        <v>85</v>
      </c>
      <c r="BT392" s="53" t="s">
        <v>489</v>
      </c>
    </row>
    <row r="393" spans="53:72" x14ac:dyDescent="0.3">
      <c r="BA393" s="4"/>
      <c r="BC393" s="4"/>
      <c r="BD393" s="4"/>
      <c r="BE393" s="4"/>
      <c r="BF393" s="4"/>
      <c r="BG393" s="4"/>
      <c r="BO393" s="53" t="s">
        <v>428</v>
      </c>
      <c r="BP393" s="53" t="s">
        <v>490</v>
      </c>
      <c r="BQ393" s="54">
        <v>37347</v>
      </c>
      <c r="BR393" s="53" t="s">
        <v>430</v>
      </c>
      <c r="BS393" s="53" t="s">
        <v>85</v>
      </c>
      <c r="BT393" s="53" t="s">
        <v>491</v>
      </c>
    </row>
    <row r="394" spans="53:72" x14ac:dyDescent="0.3">
      <c r="BA394" s="4"/>
      <c r="BC394" s="4"/>
      <c r="BD394" s="4"/>
      <c r="BE394" s="4"/>
      <c r="BF394" s="4"/>
      <c r="BG394" s="4"/>
      <c r="BO394" s="53" t="s">
        <v>94</v>
      </c>
      <c r="BP394" s="53" t="s">
        <v>492</v>
      </c>
      <c r="BQ394" s="54">
        <v>37347</v>
      </c>
      <c r="BR394" s="53" t="s">
        <v>430</v>
      </c>
      <c r="BS394" s="53" t="s">
        <v>85</v>
      </c>
      <c r="BT394" s="53" t="s">
        <v>493</v>
      </c>
    </row>
    <row r="395" spans="53:72" x14ac:dyDescent="0.3">
      <c r="BA395" s="4"/>
      <c r="BC395" s="4"/>
      <c r="BD395" s="4"/>
      <c r="BE395" s="4"/>
      <c r="BF395" s="4"/>
      <c r="BG395" s="4"/>
      <c r="BO395" s="53" t="s">
        <v>194</v>
      </c>
      <c r="BP395" s="53" t="s">
        <v>1149</v>
      </c>
      <c r="BQ395" s="54">
        <v>39539</v>
      </c>
      <c r="BR395" s="53" t="s">
        <v>430</v>
      </c>
      <c r="BS395" s="53" t="s">
        <v>85</v>
      </c>
      <c r="BT395" s="53" t="s">
        <v>793</v>
      </c>
    </row>
    <row r="396" spans="53:72" x14ac:dyDescent="0.3">
      <c r="BA396" s="4"/>
      <c r="BC396" s="4"/>
      <c r="BD396" s="4"/>
      <c r="BE396" s="4"/>
      <c r="BF396" s="4"/>
      <c r="BG396" s="4"/>
      <c r="BO396" s="53" t="s">
        <v>428</v>
      </c>
      <c r="BP396" s="53" t="s">
        <v>494</v>
      </c>
      <c r="BQ396" s="54">
        <v>40452</v>
      </c>
      <c r="BR396" s="53" t="s">
        <v>430</v>
      </c>
      <c r="BS396" s="53" t="s">
        <v>85</v>
      </c>
      <c r="BT396" s="53" t="s">
        <v>495</v>
      </c>
    </row>
    <row r="397" spans="53:72" x14ac:dyDescent="0.3">
      <c r="BA397" s="4"/>
      <c r="BC397" s="4"/>
      <c r="BD397" s="4"/>
      <c r="BE397" s="4"/>
      <c r="BF397" s="4"/>
      <c r="BG397" s="4"/>
      <c r="BO397" s="53" t="s">
        <v>94</v>
      </c>
      <c r="BP397" s="53" t="s">
        <v>1764</v>
      </c>
      <c r="BQ397" s="54">
        <v>45169</v>
      </c>
      <c r="BR397" s="53" t="s">
        <v>430</v>
      </c>
      <c r="BS397" s="53" t="s">
        <v>205</v>
      </c>
      <c r="BT397" s="53" t="s">
        <v>1763</v>
      </c>
    </row>
    <row r="398" spans="53:72" x14ac:dyDescent="0.3">
      <c r="BA398" s="4"/>
      <c r="BC398" s="4"/>
      <c r="BD398" s="4"/>
      <c r="BE398" s="4"/>
      <c r="BF398" s="4"/>
      <c r="BG398" s="4"/>
      <c r="BO398" s="53" t="s">
        <v>94</v>
      </c>
      <c r="BP398" s="53" t="s">
        <v>496</v>
      </c>
      <c r="BQ398" s="54">
        <v>42005</v>
      </c>
      <c r="BR398" s="53" t="s">
        <v>430</v>
      </c>
      <c r="BS398" s="53" t="s">
        <v>85</v>
      </c>
      <c r="BT398" s="53" t="s">
        <v>497</v>
      </c>
    </row>
    <row r="399" spans="53:72" x14ac:dyDescent="0.3">
      <c r="BA399" s="4"/>
      <c r="BC399" s="4"/>
      <c r="BD399" s="4"/>
      <c r="BE399" s="4"/>
      <c r="BF399" s="4"/>
      <c r="BG399" s="4"/>
      <c r="BO399" s="53" t="s">
        <v>94</v>
      </c>
      <c r="BP399" s="53" t="s">
        <v>498</v>
      </c>
      <c r="BQ399" s="54">
        <v>43761</v>
      </c>
      <c r="BR399" s="53" t="s">
        <v>430</v>
      </c>
      <c r="BS399" s="53" t="s">
        <v>85</v>
      </c>
      <c r="BT399" s="53" t="s">
        <v>499</v>
      </c>
    </row>
    <row r="400" spans="53:72" x14ac:dyDescent="0.3">
      <c r="BA400" s="4"/>
      <c r="BC400" s="4"/>
      <c r="BD400" s="4"/>
      <c r="BE400" s="4"/>
      <c r="BF400" s="4"/>
      <c r="BG400" s="4"/>
      <c r="BO400" s="53" t="s">
        <v>438</v>
      </c>
      <c r="BP400" s="53" t="s">
        <v>1112</v>
      </c>
      <c r="BQ400" s="54">
        <v>44691</v>
      </c>
      <c r="BR400" s="53" t="s">
        <v>430</v>
      </c>
      <c r="BS400" s="53" t="s">
        <v>1737</v>
      </c>
      <c r="BT400" s="53" t="s">
        <v>1111</v>
      </c>
    </row>
    <row r="401" spans="53:72" x14ac:dyDescent="0.3">
      <c r="BA401" s="4"/>
      <c r="BC401" s="4"/>
      <c r="BD401" s="4"/>
      <c r="BE401" s="4"/>
      <c r="BF401" s="4"/>
      <c r="BG401" s="4"/>
      <c r="BO401" s="53" t="s">
        <v>194</v>
      </c>
      <c r="BP401" s="53" t="s">
        <v>500</v>
      </c>
      <c r="BQ401" s="54">
        <v>41474</v>
      </c>
      <c r="BR401" s="53" t="s">
        <v>430</v>
      </c>
      <c r="BS401" s="53" t="s">
        <v>85</v>
      </c>
      <c r="BT401" s="53" t="s">
        <v>501</v>
      </c>
    </row>
    <row r="402" spans="53:72" x14ac:dyDescent="0.3">
      <c r="BA402" s="4"/>
      <c r="BC402" s="4"/>
      <c r="BD402" s="4"/>
      <c r="BE402" s="4"/>
      <c r="BF402" s="4"/>
      <c r="BG402" s="4"/>
      <c r="BO402" s="53" t="s">
        <v>194</v>
      </c>
      <c r="BP402" s="53" t="s">
        <v>502</v>
      </c>
      <c r="BQ402" s="54">
        <v>41474</v>
      </c>
      <c r="BR402" s="53" t="s">
        <v>430</v>
      </c>
      <c r="BS402" s="53" t="s">
        <v>85</v>
      </c>
      <c r="BT402" s="53" t="s">
        <v>503</v>
      </c>
    </row>
    <row r="403" spans="53:72" x14ac:dyDescent="0.3">
      <c r="BA403" s="4"/>
      <c r="BC403" s="4"/>
      <c r="BD403" s="4"/>
      <c r="BE403" s="4"/>
      <c r="BF403" s="4"/>
      <c r="BG403" s="4"/>
      <c r="BO403" s="53" t="s">
        <v>194</v>
      </c>
      <c r="BP403" s="53" t="s">
        <v>504</v>
      </c>
      <c r="BQ403" s="54">
        <v>41474</v>
      </c>
      <c r="BR403" s="53" t="s">
        <v>430</v>
      </c>
      <c r="BS403" s="53" t="s">
        <v>85</v>
      </c>
      <c r="BT403" s="53" t="s">
        <v>505</v>
      </c>
    </row>
    <row r="404" spans="53:72" x14ac:dyDescent="0.3">
      <c r="BA404" s="4"/>
      <c r="BC404" s="4"/>
      <c r="BD404" s="4"/>
      <c r="BE404" s="4"/>
      <c r="BF404" s="4"/>
      <c r="BG404" s="4"/>
      <c r="BO404" s="53" t="s">
        <v>94</v>
      </c>
      <c r="BP404" s="53" t="s">
        <v>1000</v>
      </c>
      <c r="BQ404" s="54">
        <v>44671</v>
      </c>
      <c r="BR404" s="53" t="s">
        <v>430</v>
      </c>
      <c r="BS404" s="53" t="s">
        <v>85</v>
      </c>
      <c r="BT404" s="53" t="s">
        <v>999</v>
      </c>
    </row>
    <row r="405" spans="53:72" x14ac:dyDescent="0.3">
      <c r="BA405" s="4"/>
      <c r="BC405" s="4"/>
      <c r="BD405" s="4"/>
      <c r="BE405" s="4"/>
      <c r="BF405" s="4"/>
      <c r="BG405" s="4"/>
      <c r="BO405" s="53" t="s">
        <v>94</v>
      </c>
      <c r="BP405" s="53" t="s">
        <v>506</v>
      </c>
      <c r="BQ405" s="54">
        <v>41946</v>
      </c>
      <c r="BR405" s="53" t="s">
        <v>430</v>
      </c>
      <c r="BS405" s="53" t="s">
        <v>85</v>
      </c>
      <c r="BT405" s="53" t="s">
        <v>507</v>
      </c>
    </row>
    <row r="406" spans="53:72" x14ac:dyDescent="0.3">
      <c r="BA406" s="4"/>
      <c r="BC406" s="4"/>
      <c r="BD406" s="4"/>
      <c r="BE406" s="4"/>
      <c r="BF406" s="4"/>
      <c r="BG406" s="4"/>
      <c r="BO406" s="53" t="s">
        <v>428</v>
      </c>
      <c r="BP406" s="53" t="s">
        <v>508</v>
      </c>
      <c r="BQ406" s="54">
        <v>42346</v>
      </c>
      <c r="BR406" s="53" t="s">
        <v>430</v>
      </c>
      <c r="BS406" s="53" t="s">
        <v>85</v>
      </c>
      <c r="BT406" s="53" t="s">
        <v>509</v>
      </c>
    </row>
    <row r="407" spans="53:72" x14ac:dyDescent="0.3">
      <c r="BA407" s="4"/>
      <c r="BC407" s="4"/>
      <c r="BD407" s="4"/>
      <c r="BE407" s="4"/>
      <c r="BF407" s="4"/>
      <c r="BG407" s="4"/>
      <c r="BO407" s="53" t="s">
        <v>428</v>
      </c>
      <c r="BP407" s="53" t="s">
        <v>510</v>
      </c>
      <c r="BQ407" s="54">
        <v>43208</v>
      </c>
      <c r="BR407" s="53" t="s">
        <v>430</v>
      </c>
      <c r="BS407" s="53" t="s">
        <v>85</v>
      </c>
      <c r="BT407" s="53" t="s">
        <v>511</v>
      </c>
    </row>
    <row r="408" spans="53:72" x14ac:dyDescent="0.3">
      <c r="BA408" s="4"/>
      <c r="BC408" s="4"/>
      <c r="BD408" s="4"/>
      <c r="BE408" s="4"/>
      <c r="BF408" s="4"/>
      <c r="BG408" s="4"/>
      <c r="BO408" s="53" t="s">
        <v>114</v>
      </c>
      <c r="BP408" s="53" t="s">
        <v>512</v>
      </c>
      <c r="BQ408" s="54">
        <v>42229</v>
      </c>
      <c r="BR408" s="53" t="s">
        <v>430</v>
      </c>
      <c r="BS408" s="53" t="s">
        <v>85</v>
      </c>
      <c r="BT408" s="53" t="s">
        <v>513</v>
      </c>
    </row>
    <row r="409" spans="53:72" x14ac:dyDescent="0.3">
      <c r="BA409" s="4"/>
      <c r="BC409" s="4"/>
      <c r="BD409" s="4"/>
      <c r="BE409" s="4"/>
      <c r="BF409" s="4"/>
      <c r="BG409" s="4"/>
      <c r="BO409" s="53" t="s">
        <v>428</v>
      </c>
      <c r="BP409" s="53" t="s">
        <v>514</v>
      </c>
      <c r="BQ409" s="54">
        <v>42660</v>
      </c>
      <c r="BR409" s="53" t="s">
        <v>430</v>
      </c>
      <c r="BS409" s="53" t="s">
        <v>85</v>
      </c>
      <c r="BT409" s="53" t="s">
        <v>515</v>
      </c>
    </row>
    <row r="410" spans="53:72" x14ac:dyDescent="0.3">
      <c r="BA410" s="4"/>
      <c r="BC410" s="4"/>
      <c r="BD410" s="4"/>
      <c r="BE410" s="4"/>
      <c r="BF410" s="4"/>
      <c r="BG410" s="4"/>
      <c r="BO410" s="53" t="s">
        <v>428</v>
      </c>
      <c r="BP410" s="53" t="s">
        <v>516</v>
      </c>
      <c r="BQ410" s="54">
        <v>42433</v>
      </c>
      <c r="BR410" s="53" t="s">
        <v>430</v>
      </c>
      <c r="BS410" s="53" t="s">
        <v>85</v>
      </c>
      <c r="BT410" s="53" t="s">
        <v>517</v>
      </c>
    </row>
    <row r="411" spans="53:72" x14ac:dyDescent="0.3">
      <c r="BA411" s="4"/>
      <c r="BC411" s="4"/>
      <c r="BD411" s="4"/>
      <c r="BE411" s="4"/>
      <c r="BF411" s="4"/>
      <c r="BG411" s="4"/>
      <c r="BO411" s="53" t="s">
        <v>428</v>
      </c>
      <c r="BP411" s="53" t="s">
        <v>518</v>
      </c>
      <c r="BQ411" s="54">
        <v>42550</v>
      </c>
      <c r="BR411" s="53" t="s">
        <v>430</v>
      </c>
      <c r="BS411" s="53" t="s">
        <v>85</v>
      </c>
      <c r="BT411" s="53" t="s">
        <v>519</v>
      </c>
    </row>
    <row r="412" spans="53:72" x14ac:dyDescent="0.3">
      <c r="BA412" s="4"/>
      <c r="BC412" s="4"/>
      <c r="BD412" s="4"/>
      <c r="BE412" s="4"/>
      <c r="BF412" s="4"/>
      <c r="BG412" s="4"/>
      <c r="BO412" s="53" t="s">
        <v>428</v>
      </c>
      <c r="BP412" s="53" t="s">
        <v>520</v>
      </c>
      <c r="BQ412" s="54">
        <v>42705</v>
      </c>
      <c r="BR412" s="53" t="s">
        <v>430</v>
      </c>
      <c r="BS412" s="53" t="s">
        <v>85</v>
      </c>
      <c r="BT412" s="53" t="s">
        <v>521</v>
      </c>
    </row>
    <row r="413" spans="53:72" x14ac:dyDescent="0.3">
      <c r="BA413" s="4"/>
      <c r="BC413" s="4"/>
      <c r="BD413" s="4"/>
      <c r="BE413" s="4"/>
      <c r="BF413" s="4"/>
      <c r="BG413" s="4"/>
      <c r="BO413" s="53" t="s">
        <v>94</v>
      </c>
      <c r="BP413" s="53" t="s">
        <v>522</v>
      </c>
      <c r="BQ413" s="54">
        <v>43040</v>
      </c>
      <c r="BR413" s="53" t="s">
        <v>430</v>
      </c>
      <c r="BS413" s="53" t="s">
        <v>85</v>
      </c>
      <c r="BT413" s="53" t="s">
        <v>523</v>
      </c>
    </row>
    <row r="414" spans="53:72" x14ac:dyDescent="0.3">
      <c r="BA414" s="4"/>
      <c r="BC414" s="4"/>
      <c r="BD414" s="4"/>
      <c r="BE414" s="4"/>
      <c r="BF414" s="4"/>
      <c r="BG414" s="4"/>
      <c r="BO414" s="53" t="s">
        <v>194</v>
      </c>
      <c r="BP414" s="53" t="s">
        <v>524</v>
      </c>
      <c r="BQ414" s="54">
        <v>43132</v>
      </c>
      <c r="BR414" s="53" t="s">
        <v>430</v>
      </c>
      <c r="BS414" s="53" t="s">
        <v>85</v>
      </c>
      <c r="BT414" s="53" t="s">
        <v>525</v>
      </c>
    </row>
    <row r="415" spans="53:72" x14ac:dyDescent="0.3">
      <c r="BA415" s="4"/>
      <c r="BC415" s="4"/>
      <c r="BD415" s="4"/>
      <c r="BE415" s="4"/>
      <c r="BF415" s="4"/>
      <c r="BG415" s="4"/>
      <c r="BO415" s="53" t="s">
        <v>428</v>
      </c>
      <c r="BP415" s="53" t="s">
        <v>526</v>
      </c>
      <c r="BQ415" s="54">
        <v>43187</v>
      </c>
      <c r="BR415" s="53" t="s">
        <v>430</v>
      </c>
      <c r="BS415" s="53" t="s">
        <v>85</v>
      </c>
      <c r="BT415" s="53" t="s">
        <v>527</v>
      </c>
    </row>
    <row r="416" spans="53:72" x14ac:dyDescent="0.3">
      <c r="BA416" s="4"/>
      <c r="BC416" s="4"/>
      <c r="BD416" s="4"/>
      <c r="BE416" s="4"/>
      <c r="BF416" s="4"/>
      <c r="BG416" s="4"/>
      <c r="BO416" s="53" t="s">
        <v>428</v>
      </c>
      <c r="BP416" s="53" t="s">
        <v>528</v>
      </c>
      <c r="BQ416" s="54">
        <v>43187</v>
      </c>
      <c r="BR416" s="53" t="s">
        <v>430</v>
      </c>
      <c r="BS416" s="53" t="s">
        <v>85</v>
      </c>
      <c r="BT416" s="53" t="s">
        <v>529</v>
      </c>
    </row>
    <row r="417" spans="53:72" x14ac:dyDescent="0.3">
      <c r="BA417" s="4"/>
      <c r="BC417" s="4"/>
      <c r="BD417" s="4"/>
      <c r="BE417" s="4"/>
      <c r="BF417" s="4"/>
      <c r="BG417" s="4"/>
      <c r="BO417" s="53" t="s">
        <v>428</v>
      </c>
      <c r="BP417" s="53" t="s">
        <v>530</v>
      </c>
      <c r="BQ417" s="54">
        <v>43193</v>
      </c>
      <c r="BR417" s="53" t="s">
        <v>430</v>
      </c>
      <c r="BS417" s="53" t="s">
        <v>85</v>
      </c>
      <c r="BT417" s="53" t="s">
        <v>531</v>
      </c>
    </row>
    <row r="418" spans="53:72" x14ac:dyDescent="0.3">
      <c r="BA418" s="4"/>
      <c r="BC418" s="4"/>
      <c r="BD418" s="4"/>
      <c r="BE418" s="4"/>
      <c r="BF418" s="4"/>
      <c r="BG418" s="4"/>
      <c r="BO418" s="53" t="s">
        <v>428</v>
      </c>
      <c r="BP418" s="53" t="s">
        <v>532</v>
      </c>
      <c r="BQ418" s="54">
        <v>43193</v>
      </c>
      <c r="BR418" s="53" t="s">
        <v>430</v>
      </c>
      <c r="BS418" s="53" t="s">
        <v>85</v>
      </c>
      <c r="BT418" s="53" t="s">
        <v>533</v>
      </c>
    </row>
    <row r="419" spans="53:72" x14ac:dyDescent="0.3">
      <c r="BA419" s="4"/>
      <c r="BC419" s="4"/>
      <c r="BD419" s="4"/>
      <c r="BE419" s="4"/>
      <c r="BF419" s="4"/>
      <c r="BG419" s="4"/>
      <c r="BO419" s="53" t="s">
        <v>428</v>
      </c>
      <c r="BP419" s="53" t="s">
        <v>534</v>
      </c>
      <c r="BQ419" s="54">
        <v>43193</v>
      </c>
      <c r="BR419" s="53" t="s">
        <v>430</v>
      </c>
      <c r="BS419" s="53" t="s">
        <v>85</v>
      </c>
      <c r="BT419" s="53" t="s">
        <v>535</v>
      </c>
    </row>
    <row r="420" spans="53:72" x14ac:dyDescent="0.3">
      <c r="BA420" s="4"/>
      <c r="BC420" s="4"/>
      <c r="BD420" s="4"/>
      <c r="BE420" s="4"/>
      <c r="BF420" s="4"/>
      <c r="BG420" s="4"/>
      <c r="BO420" s="53" t="s">
        <v>428</v>
      </c>
      <c r="BP420" s="53" t="s">
        <v>536</v>
      </c>
      <c r="BQ420" s="54">
        <v>43193</v>
      </c>
      <c r="BR420" s="53" t="s">
        <v>430</v>
      </c>
      <c r="BS420" s="53" t="s">
        <v>85</v>
      </c>
      <c r="BT420" s="53" t="s">
        <v>537</v>
      </c>
    </row>
    <row r="421" spans="53:72" x14ac:dyDescent="0.3">
      <c r="BA421" s="4"/>
      <c r="BC421" s="4"/>
      <c r="BD421" s="4"/>
      <c r="BE421" s="4"/>
      <c r="BF421" s="4"/>
      <c r="BG421" s="4"/>
      <c r="BO421" s="53" t="s">
        <v>94</v>
      </c>
      <c r="BP421" s="53" t="s">
        <v>538</v>
      </c>
      <c r="BQ421" s="54">
        <v>43244</v>
      </c>
      <c r="BR421" s="53" t="s">
        <v>430</v>
      </c>
      <c r="BS421" s="53" t="s">
        <v>85</v>
      </c>
      <c r="BT421" s="53" t="s">
        <v>539</v>
      </c>
    </row>
    <row r="422" spans="53:72" x14ac:dyDescent="0.3">
      <c r="BA422" s="4"/>
      <c r="BC422" s="4"/>
      <c r="BD422" s="4"/>
      <c r="BE422" s="4"/>
      <c r="BF422" s="4"/>
      <c r="BG422" s="4"/>
      <c r="BO422" s="53" t="s">
        <v>428</v>
      </c>
      <c r="BP422" s="53" t="s">
        <v>540</v>
      </c>
      <c r="BQ422" s="54">
        <v>43390</v>
      </c>
      <c r="BR422" s="53" t="s">
        <v>430</v>
      </c>
      <c r="BS422" s="53" t="s">
        <v>85</v>
      </c>
      <c r="BT422" s="53" t="s">
        <v>541</v>
      </c>
    </row>
    <row r="423" spans="53:72" x14ac:dyDescent="0.3">
      <c r="BA423" s="4"/>
      <c r="BC423" s="4"/>
      <c r="BD423" s="4"/>
      <c r="BE423" s="4"/>
      <c r="BF423" s="4"/>
      <c r="BG423" s="4"/>
      <c r="BO423" s="53" t="s">
        <v>114</v>
      </c>
      <c r="BP423" s="53" t="s">
        <v>542</v>
      </c>
      <c r="BQ423" s="54">
        <v>40290</v>
      </c>
      <c r="BR423" s="53" t="s">
        <v>430</v>
      </c>
      <c r="BS423" s="53" t="s">
        <v>85</v>
      </c>
      <c r="BT423" s="53" t="s">
        <v>543</v>
      </c>
    </row>
    <row r="424" spans="53:72" x14ac:dyDescent="0.3">
      <c r="BA424" s="4"/>
      <c r="BC424" s="4"/>
      <c r="BD424" s="4"/>
      <c r="BE424" s="4"/>
      <c r="BF424" s="4"/>
      <c r="BG424" s="4"/>
      <c r="BO424" s="53" t="s">
        <v>438</v>
      </c>
      <c r="BP424" s="53" t="s">
        <v>544</v>
      </c>
      <c r="BQ424" s="54">
        <v>43860</v>
      </c>
      <c r="BR424" s="53" t="s">
        <v>430</v>
      </c>
      <c r="BS424" s="53" t="s">
        <v>85</v>
      </c>
      <c r="BT424" s="53" t="s">
        <v>545</v>
      </c>
    </row>
    <row r="425" spans="53:72" x14ac:dyDescent="0.3">
      <c r="BA425" s="4"/>
      <c r="BC425" s="4"/>
      <c r="BD425" s="4"/>
      <c r="BE425" s="4"/>
      <c r="BF425" s="4"/>
      <c r="BG425" s="4"/>
      <c r="BO425" s="53" t="s">
        <v>428</v>
      </c>
      <c r="BP425" s="53" t="s">
        <v>932</v>
      </c>
      <c r="BQ425" s="54">
        <v>44599</v>
      </c>
      <c r="BR425" s="53" t="s">
        <v>430</v>
      </c>
      <c r="BS425" s="53" t="s">
        <v>85</v>
      </c>
      <c r="BT425" s="53" t="s">
        <v>931</v>
      </c>
    </row>
    <row r="426" spans="53:72" x14ac:dyDescent="0.3">
      <c r="BA426" s="4"/>
      <c r="BC426" s="4"/>
      <c r="BD426" s="4"/>
      <c r="BE426" s="4"/>
      <c r="BF426" s="4"/>
      <c r="BG426" s="4"/>
      <c r="BO426" s="53" t="s">
        <v>438</v>
      </c>
      <c r="BP426" s="53" t="s">
        <v>546</v>
      </c>
      <c r="BQ426" s="54">
        <v>44132</v>
      </c>
      <c r="BR426" s="53" t="s">
        <v>430</v>
      </c>
      <c r="BS426" s="53" t="s">
        <v>85</v>
      </c>
      <c r="BT426" s="53" t="s">
        <v>547</v>
      </c>
    </row>
    <row r="427" spans="53:72" x14ac:dyDescent="0.3">
      <c r="BA427" s="4"/>
      <c r="BC427" s="4"/>
      <c r="BD427" s="4"/>
      <c r="BE427" s="4"/>
      <c r="BF427" s="4"/>
      <c r="BG427" s="4"/>
      <c r="BO427" s="53" t="s">
        <v>438</v>
      </c>
      <c r="BP427" s="53" t="s">
        <v>548</v>
      </c>
      <c r="BQ427" s="54">
        <v>44343</v>
      </c>
      <c r="BR427" s="53" t="s">
        <v>430</v>
      </c>
      <c r="BS427" s="53" t="s">
        <v>85</v>
      </c>
      <c r="BT427" s="53" t="s">
        <v>549</v>
      </c>
    </row>
    <row r="428" spans="53:72" x14ac:dyDescent="0.3">
      <c r="BA428" s="4"/>
      <c r="BC428" s="4"/>
      <c r="BD428" s="4"/>
      <c r="BE428" s="4"/>
      <c r="BF428" s="4"/>
      <c r="BG428" s="4"/>
      <c r="BK428" s="4"/>
      <c r="BL428" s="4"/>
      <c r="BO428" s="53" t="s">
        <v>438</v>
      </c>
      <c r="BP428" s="53" t="s">
        <v>550</v>
      </c>
      <c r="BQ428" s="54">
        <v>44214</v>
      </c>
      <c r="BR428" s="53" t="s">
        <v>430</v>
      </c>
      <c r="BS428" s="53" t="s">
        <v>85</v>
      </c>
      <c r="BT428" s="53" t="s">
        <v>551</v>
      </c>
    </row>
    <row r="429" spans="53:72" x14ac:dyDescent="0.3">
      <c r="BA429" s="4"/>
      <c r="BC429" s="4"/>
      <c r="BD429" s="4"/>
      <c r="BE429" s="4"/>
      <c r="BF429" s="4"/>
      <c r="BG429" s="4"/>
      <c r="BK429" s="4"/>
      <c r="BL429" s="4"/>
      <c r="BO429" s="53" t="s">
        <v>428</v>
      </c>
      <c r="BP429" s="53" t="s">
        <v>552</v>
      </c>
      <c r="BQ429" s="54">
        <v>44299</v>
      </c>
      <c r="BR429" s="53" t="s">
        <v>430</v>
      </c>
      <c r="BS429" s="53" t="s">
        <v>85</v>
      </c>
      <c r="BT429" s="53" t="s">
        <v>553</v>
      </c>
    </row>
    <row r="430" spans="53:72" x14ac:dyDescent="0.3">
      <c r="BA430" s="4"/>
      <c r="BC430" s="4"/>
      <c r="BD430" s="4"/>
      <c r="BE430" s="4"/>
      <c r="BF430" s="4"/>
      <c r="BG430" s="4"/>
      <c r="BK430" s="4"/>
      <c r="BL430" s="4"/>
      <c r="BO430" s="53" t="s">
        <v>428</v>
      </c>
      <c r="BP430" s="53" t="s">
        <v>554</v>
      </c>
      <c r="BQ430" s="54">
        <v>44299</v>
      </c>
      <c r="BR430" s="53" t="s">
        <v>430</v>
      </c>
      <c r="BS430" s="53" t="s">
        <v>85</v>
      </c>
      <c r="BT430" s="53" t="s">
        <v>555</v>
      </c>
    </row>
    <row r="431" spans="53:72" x14ac:dyDescent="0.3">
      <c r="BA431" s="4"/>
      <c r="BC431" s="4"/>
      <c r="BD431" s="4"/>
      <c r="BE431" s="4"/>
      <c r="BF431" s="4"/>
      <c r="BG431" s="4"/>
      <c r="BK431" s="4"/>
      <c r="BL431" s="4"/>
      <c r="BO431" s="53" t="s">
        <v>438</v>
      </c>
      <c r="BP431" s="53" t="s">
        <v>556</v>
      </c>
      <c r="BQ431" s="54">
        <v>44351</v>
      </c>
      <c r="BR431" s="53" t="s">
        <v>430</v>
      </c>
      <c r="BS431" s="53" t="s">
        <v>85</v>
      </c>
      <c r="BT431" s="53" t="s">
        <v>557</v>
      </c>
    </row>
    <row r="432" spans="53:72" x14ac:dyDescent="0.3">
      <c r="BA432" s="4"/>
      <c r="BC432" s="4"/>
      <c r="BD432" s="4"/>
      <c r="BE432" s="4"/>
      <c r="BF432" s="4"/>
      <c r="BG432" s="4"/>
      <c r="BK432" s="4"/>
      <c r="BL432" s="4"/>
      <c r="BO432" s="53" t="s">
        <v>428</v>
      </c>
      <c r="BP432" s="53" t="s">
        <v>810</v>
      </c>
      <c r="BQ432" s="54">
        <v>44382</v>
      </c>
      <c r="BR432" s="53" t="s">
        <v>430</v>
      </c>
      <c r="BS432" s="53" t="s">
        <v>85</v>
      </c>
      <c r="BT432" s="53" t="s">
        <v>809</v>
      </c>
    </row>
    <row r="433" spans="53:72" x14ac:dyDescent="0.3">
      <c r="BA433" s="4"/>
      <c r="BC433" s="4"/>
      <c r="BD433" s="4"/>
      <c r="BE433" s="4"/>
      <c r="BF433" s="4"/>
      <c r="BG433" s="4"/>
      <c r="BK433" s="4"/>
      <c r="BL433" s="4"/>
      <c r="BO433" s="53" t="s">
        <v>84</v>
      </c>
      <c r="BP433" s="53" t="s">
        <v>918</v>
      </c>
      <c r="BQ433" s="54">
        <v>44585</v>
      </c>
      <c r="BR433" s="53" t="s">
        <v>430</v>
      </c>
      <c r="BS433" s="53" t="s">
        <v>85</v>
      </c>
      <c r="BT433" s="53" t="s">
        <v>917</v>
      </c>
    </row>
    <row r="434" spans="53:72" x14ac:dyDescent="0.3">
      <c r="BA434" s="4"/>
      <c r="BC434" s="4"/>
      <c r="BD434" s="4"/>
      <c r="BE434" s="4"/>
      <c r="BF434" s="4"/>
      <c r="BG434" s="4"/>
      <c r="BK434" s="4"/>
      <c r="BL434" s="4"/>
      <c r="BO434" s="53" t="s">
        <v>428</v>
      </c>
      <c r="BP434" s="53" t="s">
        <v>934</v>
      </c>
      <c r="BQ434" s="54">
        <v>44624</v>
      </c>
      <c r="BR434" s="53" t="s">
        <v>430</v>
      </c>
      <c r="BS434" s="53" t="s">
        <v>85</v>
      </c>
      <c r="BT434" s="53" t="s">
        <v>933</v>
      </c>
    </row>
    <row r="435" spans="53:72" x14ac:dyDescent="0.3">
      <c r="BA435" s="4"/>
      <c r="BC435" s="4"/>
      <c r="BD435" s="4"/>
      <c r="BE435" s="4"/>
      <c r="BF435" s="4"/>
      <c r="BG435" s="4"/>
      <c r="BK435" s="4"/>
      <c r="BL435" s="4"/>
      <c r="BO435" s="53" t="s">
        <v>428</v>
      </c>
      <c r="BP435" s="53" t="s">
        <v>1195</v>
      </c>
      <c r="BQ435" s="54">
        <v>44686</v>
      </c>
      <c r="BR435" s="53" t="s">
        <v>430</v>
      </c>
      <c r="BS435" s="53" t="s">
        <v>85</v>
      </c>
      <c r="BT435" s="53" t="s">
        <v>1194</v>
      </c>
    </row>
    <row r="436" spans="53:72" x14ac:dyDescent="0.3">
      <c r="BA436" s="4"/>
      <c r="BC436" s="4"/>
      <c r="BD436" s="4"/>
      <c r="BE436" s="4"/>
      <c r="BF436" s="4"/>
      <c r="BG436" s="4"/>
      <c r="BK436" s="4"/>
      <c r="BL436" s="4"/>
      <c r="BO436" s="53" t="s">
        <v>428</v>
      </c>
      <c r="BP436" s="53" t="s">
        <v>1197</v>
      </c>
      <c r="BQ436" s="54">
        <v>44725</v>
      </c>
      <c r="BR436" s="53" t="s">
        <v>430</v>
      </c>
      <c r="BS436" s="53" t="s">
        <v>85</v>
      </c>
      <c r="BT436" s="53" t="s">
        <v>1196</v>
      </c>
    </row>
    <row r="437" spans="53:72" x14ac:dyDescent="0.3">
      <c r="BA437" s="4"/>
      <c r="BC437" s="4"/>
      <c r="BD437" s="4"/>
      <c r="BE437" s="4"/>
      <c r="BF437" s="4"/>
      <c r="BG437" s="4"/>
      <c r="BK437" s="4"/>
      <c r="BL437" s="4"/>
      <c r="BO437" s="53" t="s">
        <v>428</v>
      </c>
      <c r="BP437" s="53" t="s">
        <v>1349</v>
      </c>
      <c r="BQ437" s="54">
        <v>44946</v>
      </c>
      <c r="BR437" s="53" t="s">
        <v>430</v>
      </c>
      <c r="BS437" s="53" t="s">
        <v>85</v>
      </c>
      <c r="BT437" s="53" t="s">
        <v>1348</v>
      </c>
    </row>
    <row r="438" spans="53:72" x14ac:dyDescent="0.3">
      <c r="BA438" s="4"/>
      <c r="BC438" s="4"/>
      <c r="BD438" s="4"/>
      <c r="BE438" s="4"/>
      <c r="BF438" s="4"/>
      <c r="BG438" s="4"/>
      <c r="BK438" s="4"/>
      <c r="BL438" s="4"/>
      <c r="BO438" s="53" t="s">
        <v>428</v>
      </c>
      <c r="BP438" s="53" t="s">
        <v>1665</v>
      </c>
      <c r="BQ438" s="54">
        <v>44964</v>
      </c>
      <c r="BR438" s="53" t="s">
        <v>430</v>
      </c>
      <c r="BS438" s="53" t="s">
        <v>85</v>
      </c>
      <c r="BT438" s="53" t="s">
        <v>1350</v>
      </c>
    </row>
    <row r="439" spans="53:72" x14ac:dyDescent="0.3">
      <c r="BA439" s="4"/>
      <c r="BC439" s="4"/>
      <c r="BD439" s="4"/>
      <c r="BE439" s="4"/>
      <c r="BF439" s="4"/>
      <c r="BG439" s="4"/>
      <c r="BK439" s="4"/>
      <c r="BL439" s="4"/>
      <c r="BO439" s="53" t="s">
        <v>438</v>
      </c>
      <c r="BP439" s="53" t="s">
        <v>1285</v>
      </c>
      <c r="BQ439" s="54">
        <v>44985</v>
      </c>
      <c r="BR439" s="53" t="s">
        <v>430</v>
      </c>
      <c r="BS439" s="53" t="s">
        <v>85</v>
      </c>
      <c r="BT439" s="53" t="s">
        <v>1284</v>
      </c>
    </row>
    <row r="440" spans="53:72" x14ac:dyDescent="0.3">
      <c r="BA440" s="4"/>
      <c r="BC440" s="4"/>
      <c r="BD440" s="4"/>
      <c r="BE440" s="4"/>
      <c r="BF440" s="4"/>
      <c r="BG440" s="4"/>
      <c r="BK440" s="4"/>
      <c r="BL440" s="4"/>
      <c r="BO440" s="53" t="s">
        <v>94</v>
      </c>
      <c r="BP440" s="53" t="s">
        <v>1399</v>
      </c>
      <c r="BQ440" s="54">
        <v>45000</v>
      </c>
      <c r="BR440" s="53" t="s">
        <v>430</v>
      </c>
      <c r="BS440" s="53" t="s">
        <v>85</v>
      </c>
      <c r="BT440" s="53" t="s">
        <v>1398</v>
      </c>
    </row>
    <row r="441" spans="53:72" x14ac:dyDescent="0.3">
      <c r="BA441" s="4"/>
      <c r="BC441" s="4"/>
      <c r="BD441" s="4"/>
      <c r="BE441" s="4"/>
      <c r="BF441" s="4"/>
      <c r="BG441" s="4"/>
      <c r="BK441" s="4"/>
      <c r="BL441" s="4"/>
      <c r="BO441" s="53" t="s">
        <v>428</v>
      </c>
      <c r="BP441" s="53" t="s">
        <v>1666</v>
      </c>
      <c r="BQ441" s="54">
        <v>45034</v>
      </c>
      <c r="BR441" s="53" t="s">
        <v>430</v>
      </c>
      <c r="BS441" s="53" t="s">
        <v>85</v>
      </c>
      <c r="BT441" s="53" t="s">
        <v>1435</v>
      </c>
    </row>
    <row r="442" spans="53:72" x14ac:dyDescent="0.3">
      <c r="BA442" s="4"/>
      <c r="BC442" s="4"/>
      <c r="BD442" s="4"/>
      <c r="BE442" s="4"/>
      <c r="BF442" s="4"/>
      <c r="BG442" s="4"/>
      <c r="BK442" s="4"/>
      <c r="BL442" s="4"/>
      <c r="BO442" s="53" t="s">
        <v>428</v>
      </c>
      <c r="BP442" s="53" t="s">
        <v>1667</v>
      </c>
      <c r="BQ442" s="54">
        <v>45034</v>
      </c>
      <c r="BR442" s="53" t="s">
        <v>430</v>
      </c>
      <c r="BS442" s="53" t="s">
        <v>85</v>
      </c>
      <c r="BT442" s="53" t="s">
        <v>1436</v>
      </c>
    </row>
    <row r="443" spans="53:72" x14ac:dyDescent="0.3">
      <c r="BA443" s="4"/>
      <c r="BC443" s="4"/>
      <c r="BD443" s="4"/>
      <c r="BE443" s="4"/>
      <c r="BF443" s="4"/>
      <c r="BG443" s="4"/>
      <c r="BK443" s="4"/>
      <c r="BL443" s="4"/>
      <c r="BO443" s="53" t="s">
        <v>428</v>
      </c>
      <c r="BP443" s="53" t="s">
        <v>1524</v>
      </c>
      <c r="BQ443" s="54">
        <v>45078</v>
      </c>
      <c r="BR443" s="53" t="s">
        <v>430</v>
      </c>
      <c r="BS443" s="53" t="s">
        <v>85</v>
      </c>
      <c r="BT443" s="53" t="s">
        <v>1523</v>
      </c>
    </row>
    <row r="444" spans="53:72" x14ac:dyDescent="0.3">
      <c r="BA444" s="4"/>
      <c r="BC444" s="4"/>
      <c r="BD444" s="4"/>
      <c r="BE444" s="4"/>
      <c r="BF444" s="4"/>
      <c r="BG444" s="4"/>
      <c r="BK444" s="4"/>
      <c r="BL444" s="4"/>
      <c r="BO444" s="53" t="s">
        <v>428</v>
      </c>
      <c r="BP444" s="53" t="s">
        <v>1669</v>
      </c>
      <c r="BQ444" s="54">
        <v>45125</v>
      </c>
      <c r="BR444" s="53" t="s">
        <v>430</v>
      </c>
      <c r="BS444" s="53" t="s">
        <v>85</v>
      </c>
      <c r="BT444" s="53" t="s">
        <v>1668</v>
      </c>
    </row>
    <row r="445" spans="53:72" x14ac:dyDescent="0.3">
      <c r="BA445" s="4"/>
      <c r="BC445" s="4"/>
      <c r="BD445" s="4"/>
      <c r="BE445" s="4"/>
      <c r="BF445" s="4"/>
      <c r="BG445" s="4"/>
      <c r="BK445" s="4"/>
      <c r="BL445" s="4"/>
      <c r="BO445" s="53" t="s">
        <v>428</v>
      </c>
      <c r="BP445" s="53" t="s">
        <v>1932</v>
      </c>
      <c r="BQ445" s="54">
        <v>45231</v>
      </c>
      <c r="BR445" s="53" t="s">
        <v>430</v>
      </c>
      <c r="BS445" s="53" t="s">
        <v>85</v>
      </c>
      <c r="BT445" s="53" t="s">
        <v>1931</v>
      </c>
    </row>
    <row r="446" spans="53:72" x14ac:dyDescent="0.3">
      <c r="BA446" s="4"/>
      <c r="BC446" s="4"/>
      <c r="BD446" s="4"/>
      <c r="BE446" s="4"/>
      <c r="BF446" s="4"/>
      <c r="BG446" s="4"/>
      <c r="BK446" s="4"/>
      <c r="BL446" s="4"/>
      <c r="BO446" s="53" t="s">
        <v>119</v>
      </c>
      <c r="BP446" s="53" t="s">
        <v>2056</v>
      </c>
      <c r="BQ446" s="54">
        <v>45265</v>
      </c>
      <c r="BR446" s="53" t="s">
        <v>430</v>
      </c>
      <c r="BS446" s="53" t="s">
        <v>85</v>
      </c>
      <c r="BT446" s="53" t="s">
        <v>2055</v>
      </c>
    </row>
    <row r="447" spans="53:72" x14ac:dyDescent="0.3">
      <c r="BA447" s="4"/>
      <c r="BC447" s="4"/>
      <c r="BD447" s="4"/>
      <c r="BE447" s="4"/>
      <c r="BF447" s="4"/>
      <c r="BG447" s="4"/>
      <c r="BK447" s="4"/>
      <c r="BL447" s="4"/>
      <c r="BO447" s="53" t="s">
        <v>428</v>
      </c>
      <c r="BP447" s="53" t="s">
        <v>1934</v>
      </c>
      <c r="BQ447" s="54">
        <v>45231</v>
      </c>
      <c r="BR447" s="53" t="s">
        <v>430</v>
      </c>
      <c r="BS447" s="53" t="s">
        <v>85</v>
      </c>
      <c r="BT447" s="53" t="s">
        <v>1933</v>
      </c>
    </row>
    <row r="448" spans="53:72" x14ac:dyDescent="0.3">
      <c r="BA448" s="4"/>
      <c r="BC448" s="4"/>
      <c r="BD448" s="4"/>
      <c r="BE448" s="4"/>
      <c r="BF448" s="4"/>
      <c r="BG448" s="4"/>
      <c r="BK448" s="4"/>
      <c r="BL448" s="4"/>
      <c r="BO448" s="53" t="s">
        <v>438</v>
      </c>
      <c r="BP448" s="53" t="s">
        <v>1951</v>
      </c>
      <c r="BQ448" s="54">
        <v>45238</v>
      </c>
      <c r="BR448" s="53" t="s">
        <v>430</v>
      </c>
      <c r="BS448" s="53" t="s">
        <v>85</v>
      </c>
      <c r="BT448" s="53" t="s">
        <v>1950</v>
      </c>
    </row>
    <row r="449" spans="53:72" x14ac:dyDescent="0.3">
      <c r="BA449" s="4"/>
      <c r="BC449" s="4"/>
      <c r="BD449" s="4"/>
      <c r="BE449" s="4"/>
      <c r="BF449" s="4"/>
      <c r="BG449" s="4"/>
      <c r="BK449" s="4"/>
      <c r="BL449" s="4"/>
      <c r="BO449" s="53" t="s">
        <v>114</v>
      </c>
      <c r="BP449" s="53" t="s">
        <v>558</v>
      </c>
      <c r="BQ449" s="54">
        <v>40290</v>
      </c>
      <c r="BR449" s="53" t="s">
        <v>430</v>
      </c>
      <c r="BS449" s="53" t="s">
        <v>85</v>
      </c>
      <c r="BT449" s="53" t="s">
        <v>559</v>
      </c>
    </row>
    <row r="450" spans="53:72" x14ac:dyDescent="0.3">
      <c r="BA450" s="4"/>
      <c r="BC450" s="4"/>
      <c r="BD450" s="4"/>
      <c r="BE450" s="4"/>
      <c r="BF450" s="4"/>
      <c r="BG450" s="4"/>
      <c r="BK450" s="4"/>
      <c r="BL450" s="4"/>
      <c r="BO450" s="53" t="s">
        <v>428</v>
      </c>
      <c r="BP450" s="53" t="s">
        <v>560</v>
      </c>
      <c r="BQ450" s="54">
        <v>40290</v>
      </c>
      <c r="BR450" s="53" t="s">
        <v>430</v>
      </c>
      <c r="BS450" s="53" t="s">
        <v>85</v>
      </c>
      <c r="BT450" s="53" t="s">
        <v>561</v>
      </c>
    </row>
    <row r="451" spans="53:72" x14ac:dyDescent="0.3">
      <c r="BA451" s="4"/>
      <c r="BC451" s="4"/>
      <c r="BD451" s="4"/>
      <c r="BE451" s="4"/>
      <c r="BF451" s="4"/>
      <c r="BG451" s="4"/>
      <c r="BK451" s="4"/>
      <c r="BL451" s="4"/>
      <c r="BO451" s="53" t="s">
        <v>94</v>
      </c>
      <c r="BP451" s="53" t="s">
        <v>562</v>
      </c>
      <c r="BQ451" s="54">
        <v>40290</v>
      </c>
      <c r="BR451" s="53" t="s">
        <v>430</v>
      </c>
      <c r="BS451" s="53" t="s">
        <v>85</v>
      </c>
      <c r="BT451" s="53" t="s">
        <v>563</v>
      </c>
    </row>
    <row r="452" spans="53:72" x14ac:dyDescent="0.3">
      <c r="BA452" s="4"/>
      <c r="BC452" s="4"/>
      <c r="BD452" s="4"/>
      <c r="BE452" s="4"/>
      <c r="BF452" s="4"/>
      <c r="BG452" s="4"/>
      <c r="BK452" s="4"/>
      <c r="BL452" s="4"/>
      <c r="BO452" s="53" t="s">
        <v>194</v>
      </c>
      <c r="BP452" s="53" t="s">
        <v>564</v>
      </c>
      <c r="BQ452" s="54">
        <v>40290</v>
      </c>
      <c r="BR452" s="53" t="s">
        <v>430</v>
      </c>
      <c r="BS452" s="53" t="s">
        <v>85</v>
      </c>
      <c r="BT452" s="53" t="s">
        <v>565</v>
      </c>
    </row>
    <row r="453" spans="53:72" x14ac:dyDescent="0.3">
      <c r="BA453" s="4"/>
      <c r="BC453" s="4"/>
      <c r="BD453" s="4"/>
      <c r="BE453" s="4"/>
      <c r="BF453" s="4"/>
      <c r="BG453" s="4"/>
      <c r="BK453" s="4"/>
      <c r="BL453" s="4"/>
      <c r="BO453" s="53" t="s">
        <v>114</v>
      </c>
      <c r="BP453" s="53" t="s">
        <v>566</v>
      </c>
      <c r="BQ453" s="54">
        <v>40491</v>
      </c>
      <c r="BR453" s="53" t="s">
        <v>430</v>
      </c>
      <c r="BS453" s="53" t="s">
        <v>85</v>
      </c>
      <c r="BT453" s="53" t="s">
        <v>567</v>
      </c>
    </row>
    <row r="454" spans="53:72" x14ac:dyDescent="0.3">
      <c r="BB454" s="4"/>
      <c r="BK454" s="4"/>
      <c r="BL454" s="4"/>
      <c r="BO454" s="53" t="s">
        <v>428</v>
      </c>
      <c r="BP454" s="53" t="s">
        <v>568</v>
      </c>
      <c r="BQ454" s="54">
        <v>40491</v>
      </c>
      <c r="BR454" s="53" t="s">
        <v>430</v>
      </c>
      <c r="BS454" s="53" t="s">
        <v>85</v>
      </c>
      <c r="BT454" s="53" t="s">
        <v>569</v>
      </c>
    </row>
    <row r="455" spans="53:72" x14ac:dyDescent="0.3">
      <c r="BB455" s="4"/>
      <c r="BK455" s="4"/>
      <c r="BL455" s="4"/>
      <c r="BO455" s="53" t="s">
        <v>94</v>
      </c>
      <c r="BP455" s="53" t="s">
        <v>570</v>
      </c>
      <c r="BQ455" s="54">
        <v>40491</v>
      </c>
      <c r="BR455" s="53" t="s">
        <v>430</v>
      </c>
      <c r="BS455" s="53" t="s">
        <v>85</v>
      </c>
      <c r="BT455" s="53" t="s">
        <v>571</v>
      </c>
    </row>
    <row r="456" spans="53:72" x14ac:dyDescent="0.3">
      <c r="BB456" s="4"/>
      <c r="BK456" s="4"/>
      <c r="BL456" s="4"/>
      <c r="BO456" s="53" t="s">
        <v>114</v>
      </c>
      <c r="BP456" s="53" t="s">
        <v>572</v>
      </c>
      <c r="BQ456" s="54">
        <v>40581</v>
      </c>
      <c r="BR456" s="53" t="s">
        <v>430</v>
      </c>
      <c r="BS456" s="53" t="s">
        <v>85</v>
      </c>
      <c r="BT456" s="53" t="s">
        <v>573</v>
      </c>
    </row>
    <row r="457" spans="53:72" x14ac:dyDescent="0.3">
      <c r="BB457" s="4"/>
      <c r="BK457" s="4"/>
      <c r="BL457" s="4"/>
      <c r="BO457" s="53" t="s">
        <v>428</v>
      </c>
      <c r="BP457" s="53" t="s">
        <v>572</v>
      </c>
      <c r="BQ457" s="54">
        <v>40581</v>
      </c>
      <c r="BR457" s="53" t="s">
        <v>430</v>
      </c>
      <c r="BS457" s="53" t="s">
        <v>85</v>
      </c>
      <c r="BT457" s="53" t="s">
        <v>574</v>
      </c>
    </row>
    <row r="458" spans="53:72" x14ac:dyDescent="0.3">
      <c r="BB458" s="4"/>
      <c r="BK458" s="4"/>
      <c r="BL458" s="4"/>
      <c r="BO458" s="53" t="s">
        <v>94</v>
      </c>
      <c r="BP458" s="53" t="s">
        <v>572</v>
      </c>
      <c r="BQ458" s="54">
        <v>40581</v>
      </c>
      <c r="BR458" s="53" t="s">
        <v>430</v>
      </c>
      <c r="BS458" s="53" t="s">
        <v>85</v>
      </c>
      <c r="BT458" s="53" t="s">
        <v>575</v>
      </c>
    </row>
    <row r="459" spans="53:72" x14ac:dyDescent="0.3">
      <c r="BB459" s="4"/>
      <c r="BK459" s="4"/>
      <c r="BL459" s="4"/>
      <c r="BO459" s="53" t="s">
        <v>428</v>
      </c>
      <c r="BP459" s="53" t="s">
        <v>576</v>
      </c>
      <c r="BQ459" s="54">
        <v>40771</v>
      </c>
      <c r="BR459" s="53" t="s">
        <v>430</v>
      </c>
      <c r="BS459" s="53" t="s">
        <v>85</v>
      </c>
      <c r="BT459" s="53" t="s">
        <v>577</v>
      </c>
    </row>
    <row r="460" spans="53:72" x14ac:dyDescent="0.3">
      <c r="BB460" s="4"/>
      <c r="BK460" s="4"/>
      <c r="BL460" s="4"/>
      <c r="BO460" s="53" t="s">
        <v>114</v>
      </c>
      <c r="BP460" s="53" t="s">
        <v>578</v>
      </c>
      <c r="BQ460" s="54">
        <v>44313</v>
      </c>
      <c r="BR460" s="53" t="s">
        <v>430</v>
      </c>
      <c r="BS460" s="53" t="s">
        <v>85</v>
      </c>
      <c r="BT460" s="53" t="s">
        <v>579</v>
      </c>
    </row>
    <row r="461" spans="53:72" x14ac:dyDescent="0.3">
      <c r="BB461" s="4"/>
      <c r="BK461" s="4"/>
      <c r="BL461" s="4"/>
      <c r="BO461" s="53" t="s">
        <v>114</v>
      </c>
      <c r="BP461" s="53" t="s">
        <v>580</v>
      </c>
      <c r="BQ461" s="54">
        <v>36535</v>
      </c>
      <c r="BR461" s="53" t="s">
        <v>430</v>
      </c>
      <c r="BS461" s="53" t="s">
        <v>85</v>
      </c>
      <c r="BT461" s="53" t="s">
        <v>581</v>
      </c>
    </row>
    <row r="462" spans="53:72" x14ac:dyDescent="0.3">
      <c r="BB462" s="4"/>
      <c r="BK462" s="4"/>
      <c r="BL462" s="4"/>
      <c r="BO462" s="53" t="s">
        <v>428</v>
      </c>
      <c r="BP462" s="53" t="s">
        <v>582</v>
      </c>
      <c r="BQ462" s="54">
        <v>36535</v>
      </c>
      <c r="BR462" s="53" t="s">
        <v>430</v>
      </c>
      <c r="BS462" s="53" t="s">
        <v>85</v>
      </c>
      <c r="BT462" s="53" t="s">
        <v>583</v>
      </c>
    </row>
    <row r="463" spans="53:72" x14ac:dyDescent="0.3">
      <c r="BB463" s="4"/>
      <c r="BK463" s="4"/>
      <c r="BL463" s="4"/>
      <c r="BO463" s="53" t="s">
        <v>335</v>
      </c>
      <c r="BP463" s="53" t="s">
        <v>584</v>
      </c>
      <c r="BQ463" s="54">
        <v>36535</v>
      </c>
      <c r="BR463" s="53" t="s">
        <v>430</v>
      </c>
      <c r="BS463" s="53" t="s">
        <v>85</v>
      </c>
      <c r="BT463" s="53" t="s">
        <v>585</v>
      </c>
    </row>
    <row r="464" spans="53:72" x14ac:dyDescent="0.3">
      <c r="BB464" s="4"/>
      <c r="BK464" s="4"/>
      <c r="BL464" s="4"/>
      <c r="BO464" s="53" t="s">
        <v>94</v>
      </c>
      <c r="BP464" s="53" t="s">
        <v>586</v>
      </c>
      <c r="BQ464" s="54">
        <v>43355</v>
      </c>
      <c r="BR464" s="53" t="s">
        <v>430</v>
      </c>
      <c r="BS464" s="53" t="s">
        <v>85</v>
      </c>
      <c r="BT464" s="53" t="s">
        <v>587</v>
      </c>
    </row>
    <row r="465" spans="54:72" x14ac:dyDescent="0.3">
      <c r="BB465" s="4"/>
      <c r="BK465" s="4"/>
      <c r="BL465" s="4"/>
      <c r="BO465" s="53" t="s">
        <v>94</v>
      </c>
      <c r="BP465" s="53" t="s">
        <v>588</v>
      </c>
      <c r="BQ465" s="54">
        <v>43361</v>
      </c>
      <c r="BR465" s="53" t="s">
        <v>430</v>
      </c>
      <c r="BS465" s="53" t="s">
        <v>85</v>
      </c>
      <c r="BT465" s="53" t="s">
        <v>589</v>
      </c>
    </row>
    <row r="466" spans="54:72" x14ac:dyDescent="0.3">
      <c r="BB466" s="4"/>
      <c r="BK466" s="4"/>
      <c r="BL466" s="4"/>
      <c r="BO466" s="53" t="s">
        <v>94</v>
      </c>
      <c r="BP466" s="53" t="s">
        <v>590</v>
      </c>
      <c r="BQ466" s="54">
        <v>43403</v>
      </c>
      <c r="BR466" s="53" t="s">
        <v>430</v>
      </c>
      <c r="BS466" s="53" t="s">
        <v>85</v>
      </c>
      <c r="BT466" s="53" t="s">
        <v>591</v>
      </c>
    </row>
    <row r="467" spans="54:72" x14ac:dyDescent="0.3">
      <c r="BB467" s="4"/>
      <c r="BK467" s="4"/>
      <c r="BL467" s="4"/>
      <c r="BO467" s="53" t="s">
        <v>94</v>
      </c>
      <c r="BP467" s="53" t="s">
        <v>592</v>
      </c>
      <c r="BQ467" s="54">
        <v>43410</v>
      </c>
      <c r="BR467" s="53" t="s">
        <v>430</v>
      </c>
      <c r="BS467" s="53" t="s">
        <v>85</v>
      </c>
      <c r="BT467" s="53" t="s">
        <v>593</v>
      </c>
    </row>
    <row r="468" spans="54:72" x14ac:dyDescent="0.3">
      <c r="BB468" s="4"/>
      <c r="BK468" s="4"/>
      <c r="BL468" s="4"/>
      <c r="BO468" s="53" t="s">
        <v>94</v>
      </c>
      <c r="BP468" s="53" t="s">
        <v>594</v>
      </c>
      <c r="BQ468" s="54">
        <v>43410</v>
      </c>
      <c r="BR468" s="53" t="s">
        <v>430</v>
      </c>
      <c r="BS468" s="53" t="s">
        <v>85</v>
      </c>
      <c r="BT468" s="53" t="s">
        <v>595</v>
      </c>
    </row>
    <row r="469" spans="54:72" x14ac:dyDescent="0.3">
      <c r="BB469" s="4"/>
      <c r="BK469" s="4"/>
      <c r="BL469" s="4"/>
      <c r="BO469" s="53" t="s">
        <v>94</v>
      </c>
      <c r="BP469" s="53" t="s">
        <v>596</v>
      </c>
      <c r="BQ469" s="54">
        <v>43410</v>
      </c>
      <c r="BR469" s="53" t="s">
        <v>430</v>
      </c>
      <c r="BS469" s="53" t="s">
        <v>85</v>
      </c>
      <c r="BT469" s="53" t="s">
        <v>597</v>
      </c>
    </row>
    <row r="470" spans="54:72" x14ac:dyDescent="0.3">
      <c r="BB470" s="4"/>
      <c r="BK470" s="4"/>
      <c r="BL470" s="4"/>
      <c r="BO470" s="53" t="s">
        <v>94</v>
      </c>
      <c r="BP470" s="53" t="s">
        <v>598</v>
      </c>
      <c r="BQ470" s="54">
        <v>43410</v>
      </c>
      <c r="BR470" s="53" t="s">
        <v>430</v>
      </c>
      <c r="BS470" s="53" t="s">
        <v>85</v>
      </c>
      <c r="BT470" s="53" t="s">
        <v>599</v>
      </c>
    </row>
    <row r="471" spans="54:72" x14ac:dyDescent="0.3">
      <c r="BB471" s="4"/>
      <c r="BK471" s="4"/>
      <c r="BL471" s="4"/>
      <c r="BO471" s="53" t="s">
        <v>94</v>
      </c>
      <c r="BP471" s="53" t="s">
        <v>600</v>
      </c>
      <c r="BQ471" s="54">
        <v>43410</v>
      </c>
      <c r="BR471" s="53" t="s">
        <v>430</v>
      </c>
      <c r="BS471" s="53" t="s">
        <v>85</v>
      </c>
      <c r="BT471" s="53" t="s">
        <v>601</v>
      </c>
    </row>
    <row r="472" spans="54:72" x14ac:dyDescent="0.3">
      <c r="BB472" s="4"/>
      <c r="BK472" s="4"/>
      <c r="BL472" s="4"/>
      <c r="BO472" s="53" t="s">
        <v>94</v>
      </c>
      <c r="BP472" s="53" t="s">
        <v>602</v>
      </c>
      <c r="BQ472" s="54">
        <v>43410</v>
      </c>
      <c r="BR472" s="53" t="s">
        <v>430</v>
      </c>
      <c r="BS472" s="53" t="s">
        <v>85</v>
      </c>
      <c r="BT472" s="53" t="s">
        <v>603</v>
      </c>
    </row>
    <row r="473" spans="54:72" x14ac:dyDescent="0.3">
      <c r="BB473" s="4"/>
      <c r="BK473" s="4"/>
      <c r="BL473" s="4"/>
      <c r="BO473" s="53" t="s">
        <v>94</v>
      </c>
      <c r="BP473" s="53" t="s">
        <v>604</v>
      </c>
      <c r="BQ473" s="54">
        <v>43475</v>
      </c>
      <c r="BR473" s="53" t="s">
        <v>430</v>
      </c>
      <c r="BS473" s="53" t="s">
        <v>85</v>
      </c>
      <c r="BT473" s="53" t="s">
        <v>605</v>
      </c>
    </row>
    <row r="474" spans="54:72" x14ac:dyDescent="0.3">
      <c r="BB474" s="4"/>
      <c r="BK474" s="4"/>
      <c r="BL474" s="4"/>
      <c r="BO474" s="53" t="s">
        <v>94</v>
      </c>
      <c r="BP474" s="53" t="s">
        <v>606</v>
      </c>
      <c r="BQ474" s="54">
        <v>43893</v>
      </c>
      <c r="BR474" s="53" t="s">
        <v>430</v>
      </c>
      <c r="BS474" s="53" t="s">
        <v>85</v>
      </c>
      <c r="BT474" s="53" t="s">
        <v>607</v>
      </c>
    </row>
    <row r="475" spans="54:72" x14ac:dyDescent="0.3">
      <c r="BB475" s="4"/>
      <c r="BK475" s="4"/>
      <c r="BL475" s="4"/>
      <c r="BO475" s="53" t="s">
        <v>94</v>
      </c>
      <c r="BP475" s="53" t="s">
        <v>608</v>
      </c>
      <c r="BQ475" s="54">
        <v>44152</v>
      </c>
      <c r="BR475" s="53" t="s">
        <v>430</v>
      </c>
      <c r="BS475" s="53" t="s">
        <v>85</v>
      </c>
      <c r="BT475" s="53" t="s">
        <v>609</v>
      </c>
    </row>
    <row r="476" spans="54:72" x14ac:dyDescent="0.3">
      <c r="BB476" s="4"/>
      <c r="BK476" s="4"/>
      <c r="BL476" s="4"/>
      <c r="BO476" s="53" t="s">
        <v>94</v>
      </c>
      <c r="BP476" s="53" t="s">
        <v>985</v>
      </c>
      <c r="BQ476" s="54">
        <v>44657</v>
      </c>
      <c r="BR476" s="53" t="s">
        <v>430</v>
      </c>
      <c r="BS476" s="53" t="s">
        <v>85</v>
      </c>
      <c r="BT476" s="53" t="s">
        <v>984</v>
      </c>
    </row>
    <row r="477" spans="54:72" x14ac:dyDescent="0.3">
      <c r="BB477" s="4"/>
      <c r="BK477" s="4"/>
      <c r="BL477" s="4"/>
      <c r="BO477" s="53" t="s">
        <v>94</v>
      </c>
      <c r="BP477" s="53" t="s">
        <v>1244</v>
      </c>
      <c r="BQ477" s="54">
        <v>44685</v>
      </c>
      <c r="BR477" s="53" t="s">
        <v>430</v>
      </c>
      <c r="BS477" s="53" t="s">
        <v>85</v>
      </c>
      <c r="BT477" s="53" t="s">
        <v>1243</v>
      </c>
    </row>
    <row r="478" spans="54:72" x14ac:dyDescent="0.3">
      <c r="BB478" s="4"/>
      <c r="BK478" s="4"/>
      <c r="BL478" s="4"/>
      <c r="BO478" s="53" t="s">
        <v>94</v>
      </c>
      <c r="BP478" s="53" t="s">
        <v>1400</v>
      </c>
      <c r="BQ478" s="54">
        <v>44770</v>
      </c>
      <c r="BR478" s="53" t="s">
        <v>430</v>
      </c>
      <c r="BS478" s="53" t="s">
        <v>85</v>
      </c>
      <c r="BT478" s="53" t="s">
        <v>1245</v>
      </c>
    </row>
    <row r="479" spans="54:72" x14ac:dyDescent="0.3">
      <c r="BB479" s="4"/>
      <c r="BK479" s="4"/>
      <c r="BL479" s="4"/>
      <c r="BO479" s="53" t="s">
        <v>94</v>
      </c>
      <c r="BP479" s="53" t="s">
        <v>1402</v>
      </c>
      <c r="BQ479" s="54">
        <v>44972</v>
      </c>
      <c r="BR479" s="53" t="s">
        <v>430</v>
      </c>
      <c r="BS479" s="53" t="s">
        <v>85</v>
      </c>
      <c r="BT479" s="53" t="s">
        <v>1401</v>
      </c>
    </row>
    <row r="480" spans="54:72" x14ac:dyDescent="0.3">
      <c r="BB480" s="4"/>
      <c r="BK480" s="4"/>
      <c r="BL480" s="4"/>
      <c r="BO480" s="53" t="s">
        <v>94</v>
      </c>
      <c r="BP480" s="53" t="s">
        <v>1404</v>
      </c>
      <c r="BQ480" s="54">
        <v>45006</v>
      </c>
      <c r="BR480" s="53" t="s">
        <v>430</v>
      </c>
      <c r="BS480" s="53" t="s">
        <v>85</v>
      </c>
      <c r="BT480" s="53" t="s">
        <v>1403</v>
      </c>
    </row>
    <row r="481" spans="54:72" x14ac:dyDescent="0.3">
      <c r="BB481" s="4"/>
      <c r="BK481" s="4"/>
      <c r="BL481" s="4"/>
      <c r="BO481" s="53" t="s">
        <v>94</v>
      </c>
      <c r="BP481" s="53" t="s">
        <v>1830</v>
      </c>
      <c r="BQ481" s="54">
        <v>45201</v>
      </c>
      <c r="BR481" s="53" t="s">
        <v>430</v>
      </c>
      <c r="BS481" s="53" t="s">
        <v>85</v>
      </c>
      <c r="BT481" s="53" t="s">
        <v>1829</v>
      </c>
    </row>
    <row r="482" spans="54:72" x14ac:dyDescent="0.3">
      <c r="BB482" s="4"/>
      <c r="BK482" s="4"/>
      <c r="BL482" s="4"/>
      <c r="BO482" s="53" t="s">
        <v>94</v>
      </c>
      <c r="BP482" s="53" t="s">
        <v>2073</v>
      </c>
      <c r="BQ482" s="54">
        <v>45264</v>
      </c>
      <c r="BR482" s="53" t="s">
        <v>430</v>
      </c>
      <c r="BS482" s="53" t="s">
        <v>85</v>
      </c>
      <c r="BT482" s="53" t="s">
        <v>2072</v>
      </c>
    </row>
    <row r="483" spans="54:72" x14ac:dyDescent="0.3">
      <c r="BB483" s="4"/>
      <c r="BK483" s="4"/>
      <c r="BL483" s="4"/>
      <c r="BO483" s="53" t="s">
        <v>94</v>
      </c>
      <c r="BP483" s="53" t="s">
        <v>610</v>
      </c>
      <c r="BQ483" s="54">
        <v>37347</v>
      </c>
      <c r="BR483" s="53" t="s">
        <v>430</v>
      </c>
      <c r="BS483" s="53" t="s">
        <v>85</v>
      </c>
      <c r="BT483" s="53" t="s">
        <v>611</v>
      </c>
    </row>
    <row r="484" spans="54:72" x14ac:dyDescent="0.3">
      <c r="BB484" s="4"/>
      <c r="BK484" s="4"/>
      <c r="BL484" s="4"/>
      <c r="BO484" s="53" t="s">
        <v>194</v>
      </c>
      <c r="BP484" s="53" t="s">
        <v>612</v>
      </c>
      <c r="BQ484" s="54">
        <v>39539</v>
      </c>
      <c r="BR484" s="53" t="s">
        <v>430</v>
      </c>
      <c r="BS484" s="53" t="s">
        <v>85</v>
      </c>
      <c r="BT484" s="53" t="s">
        <v>613</v>
      </c>
    </row>
    <row r="485" spans="54:72" x14ac:dyDescent="0.3">
      <c r="BB485" s="4"/>
      <c r="BK485" s="4"/>
      <c r="BL485" s="4"/>
      <c r="BO485" s="53" t="s">
        <v>114</v>
      </c>
      <c r="BP485" s="53" t="s">
        <v>614</v>
      </c>
      <c r="BQ485" s="54">
        <v>36535</v>
      </c>
      <c r="BR485" s="53" t="s">
        <v>430</v>
      </c>
      <c r="BS485" s="53" t="s">
        <v>85</v>
      </c>
      <c r="BT485" s="53" t="s">
        <v>615</v>
      </c>
    </row>
    <row r="486" spans="54:72" x14ac:dyDescent="0.3">
      <c r="BB486" s="4"/>
      <c r="BK486" s="4"/>
      <c r="BL486" s="4"/>
      <c r="BO486" s="53" t="s">
        <v>114</v>
      </c>
      <c r="BP486" s="53" t="s">
        <v>616</v>
      </c>
      <c r="BQ486" s="54">
        <v>36535</v>
      </c>
      <c r="BR486" s="53" t="s">
        <v>430</v>
      </c>
      <c r="BS486" s="53" t="s">
        <v>85</v>
      </c>
      <c r="BT486" s="53" t="s">
        <v>617</v>
      </c>
    </row>
    <row r="487" spans="54:72" x14ac:dyDescent="0.3">
      <c r="BB487" s="4"/>
      <c r="BK487" s="4"/>
      <c r="BL487" s="4"/>
      <c r="BO487" s="53" t="s">
        <v>428</v>
      </c>
      <c r="BP487" s="53" t="s">
        <v>618</v>
      </c>
      <c r="BQ487" s="54">
        <v>36535</v>
      </c>
      <c r="BR487" s="53" t="s">
        <v>430</v>
      </c>
      <c r="BS487" s="53" t="s">
        <v>85</v>
      </c>
      <c r="BT487" s="53" t="s">
        <v>619</v>
      </c>
    </row>
    <row r="488" spans="54:72" x14ac:dyDescent="0.3">
      <c r="BB488" s="4"/>
      <c r="BK488" s="4"/>
      <c r="BL488" s="4"/>
      <c r="BO488" s="53" t="s">
        <v>335</v>
      </c>
      <c r="BP488" s="53" t="s">
        <v>620</v>
      </c>
      <c r="BQ488" s="54">
        <v>36535</v>
      </c>
      <c r="BR488" s="53" t="s">
        <v>430</v>
      </c>
      <c r="BS488" s="53" t="s">
        <v>85</v>
      </c>
      <c r="BT488" s="53" t="s">
        <v>621</v>
      </c>
    </row>
    <row r="489" spans="54:72" x14ac:dyDescent="0.3">
      <c r="BB489" s="4"/>
      <c r="BK489" s="4"/>
      <c r="BL489" s="4"/>
      <c r="BO489" s="53" t="s">
        <v>438</v>
      </c>
      <c r="BP489" s="53" t="s">
        <v>622</v>
      </c>
      <c r="BQ489" s="54">
        <v>43475</v>
      </c>
      <c r="BR489" s="53" t="s">
        <v>430</v>
      </c>
      <c r="BS489" s="53" t="s">
        <v>85</v>
      </c>
      <c r="BT489" s="53" t="s">
        <v>623</v>
      </c>
    </row>
    <row r="490" spans="54:72" x14ac:dyDescent="0.3">
      <c r="BB490" s="4"/>
      <c r="BK490" s="4"/>
      <c r="BL490" s="4"/>
      <c r="BO490" s="53" t="s">
        <v>438</v>
      </c>
      <c r="BP490" s="53" t="s">
        <v>624</v>
      </c>
      <c r="BQ490" s="54">
        <v>43482</v>
      </c>
      <c r="BR490" s="53" t="s">
        <v>430</v>
      </c>
      <c r="BS490" s="53" t="s">
        <v>85</v>
      </c>
      <c r="BT490" s="53" t="s">
        <v>625</v>
      </c>
    </row>
    <row r="491" spans="54:72" x14ac:dyDescent="0.3">
      <c r="BB491" s="4"/>
      <c r="BK491" s="4"/>
      <c r="BL491" s="4"/>
      <c r="BO491" s="53" t="s">
        <v>94</v>
      </c>
      <c r="BP491" s="53" t="s">
        <v>626</v>
      </c>
      <c r="BQ491" s="54">
        <v>43634</v>
      </c>
      <c r="BR491" s="53" t="s">
        <v>430</v>
      </c>
      <c r="BS491" s="53" t="s">
        <v>85</v>
      </c>
      <c r="BT491" s="53" t="s">
        <v>627</v>
      </c>
    </row>
    <row r="492" spans="54:72" x14ac:dyDescent="0.3">
      <c r="BB492" s="4"/>
      <c r="BK492" s="4"/>
      <c r="BL492" s="4"/>
      <c r="BO492" s="53" t="s">
        <v>94</v>
      </c>
      <c r="BP492" s="53" t="s">
        <v>628</v>
      </c>
      <c r="BQ492" s="54">
        <v>44329</v>
      </c>
      <c r="BR492" s="53" t="s">
        <v>430</v>
      </c>
      <c r="BS492" s="53" t="s">
        <v>85</v>
      </c>
      <c r="BT492" s="53" t="s">
        <v>629</v>
      </c>
    </row>
    <row r="493" spans="54:72" x14ac:dyDescent="0.3">
      <c r="BB493" s="4"/>
      <c r="BK493" s="4"/>
      <c r="BL493" s="4"/>
      <c r="BO493" s="53" t="s">
        <v>94</v>
      </c>
      <c r="BP493" s="53" t="s">
        <v>630</v>
      </c>
      <c r="BQ493" s="54">
        <v>37347</v>
      </c>
      <c r="BR493" s="53" t="s">
        <v>430</v>
      </c>
      <c r="BS493" s="53" t="s">
        <v>85</v>
      </c>
      <c r="BT493" s="53" t="s">
        <v>631</v>
      </c>
    </row>
    <row r="494" spans="54:72" x14ac:dyDescent="0.3">
      <c r="BB494" s="4"/>
      <c r="BK494" s="4"/>
      <c r="BL494" s="4"/>
      <c r="BO494" s="53" t="s">
        <v>194</v>
      </c>
      <c r="BP494" s="53" t="s">
        <v>632</v>
      </c>
      <c r="BQ494" s="54">
        <v>39539</v>
      </c>
      <c r="BR494" s="53" t="s">
        <v>430</v>
      </c>
      <c r="BS494" s="53" t="s">
        <v>85</v>
      </c>
      <c r="BT494" s="53" t="s">
        <v>633</v>
      </c>
    </row>
    <row r="495" spans="54:72" x14ac:dyDescent="0.3">
      <c r="BB495" s="4"/>
      <c r="BK495" s="4"/>
      <c r="BL495" s="4"/>
      <c r="BO495" s="53" t="s">
        <v>114</v>
      </c>
      <c r="BP495" s="53" t="s">
        <v>968</v>
      </c>
      <c r="BQ495" s="54">
        <v>44663</v>
      </c>
      <c r="BR495" s="53" t="s">
        <v>430</v>
      </c>
      <c r="BS495" s="53" t="s">
        <v>85</v>
      </c>
      <c r="BT495" s="53" t="s">
        <v>967</v>
      </c>
    </row>
    <row r="496" spans="54:72" x14ac:dyDescent="0.3">
      <c r="BB496" s="4"/>
      <c r="BK496" s="4"/>
      <c r="BL496" s="4"/>
      <c r="BO496" s="53" t="s">
        <v>428</v>
      </c>
      <c r="BP496" s="53" t="s">
        <v>974</v>
      </c>
      <c r="BQ496" s="54">
        <v>44663</v>
      </c>
      <c r="BR496" s="53" t="s">
        <v>430</v>
      </c>
      <c r="BS496" s="53" t="s">
        <v>85</v>
      </c>
      <c r="BT496" s="53" t="s">
        <v>973</v>
      </c>
    </row>
    <row r="497" spans="54:72" x14ac:dyDescent="0.3">
      <c r="BB497" s="4"/>
      <c r="BK497" s="4"/>
      <c r="BL497" s="4"/>
      <c r="BO497" s="53" t="s">
        <v>94</v>
      </c>
      <c r="BP497" s="53" t="s">
        <v>987</v>
      </c>
      <c r="BQ497" s="54">
        <v>44663</v>
      </c>
      <c r="BR497" s="53" t="s">
        <v>430</v>
      </c>
      <c r="BS497" s="53" t="s">
        <v>85</v>
      </c>
      <c r="BT497" s="53" t="s">
        <v>986</v>
      </c>
    </row>
    <row r="498" spans="54:72" x14ac:dyDescent="0.3">
      <c r="BB498" s="4"/>
      <c r="BK498" s="4"/>
      <c r="BL498" s="4"/>
      <c r="BO498" s="53" t="s">
        <v>194</v>
      </c>
      <c r="BP498" s="53" t="s">
        <v>972</v>
      </c>
      <c r="BQ498" s="54">
        <v>44663</v>
      </c>
      <c r="BR498" s="53" t="s">
        <v>430</v>
      </c>
      <c r="BS498" s="53" t="s">
        <v>85</v>
      </c>
      <c r="BT498" s="53" t="s">
        <v>971</v>
      </c>
    </row>
    <row r="499" spans="54:72" x14ac:dyDescent="0.3">
      <c r="BB499" s="4"/>
      <c r="BK499" s="4"/>
      <c r="BL499" s="4"/>
      <c r="BO499" s="53" t="s">
        <v>114</v>
      </c>
      <c r="BP499" s="53" t="s">
        <v>634</v>
      </c>
      <c r="BQ499" s="54">
        <v>36535</v>
      </c>
      <c r="BR499" s="53" t="s">
        <v>430</v>
      </c>
      <c r="BS499" s="53" t="s">
        <v>85</v>
      </c>
      <c r="BT499" s="53" t="s">
        <v>635</v>
      </c>
    </row>
    <row r="500" spans="54:72" x14ac:dyDescent="0.3">
      <c r="BB500" s="4"/>
      <c r="BK500" s="4"/>
      <c r="BL500" s="4"/>
      <c r="BO500" s="53" t="s">
        <v>428</v>
      </c>
      <c r="BP500" s="53" t="s">
        <v>636</v>
      </c>
      <c r="BQ500" s="54">
        <v>36535</v>
      </c>
      <c r="BR500" s="53" t="s">
        <v>430</v>
      </c>
      <c r="BS500" s="53" t="s">
        <v>85</v>
      </c>
      <c r="BT500" s="53" t="s">
        <v>637</v>
      </c>
    </row>
    <row r="501" spans="54:72" x14ac:dyDescent="0.3">
      <c r="BB501" s="4"/>
      <c r="BK501" s="4"/>
      <c r="BL501" s="4"/>
      <c r="BO501" s="53" t="s">
        <v>94</v>
      </c>
      <c r="BP501" s="53" t="s">
        <v>638</v>
      </c>
      <c r="BQ501" s="54">
        <v>37347</v>
      </c>
      <c r="BR501" s="53" t="s">
        <v>430</v>
      </c>
      <c r="BS501" s="53" t="s">
        <v>85</v>
      </c>
      <c r="BT501" s="53" t="s">
        <v>639</v>
      </c>
    </row>
    <row r="502" spans="54:72" x14ac:dyDescent="0.3">
      <c r="BB502" s="4"/>
      <c r="BK502" s="4"/>
      <c r="BL502" s="4"/>
      <c r="BO502" s="53" t="s">
        <v>194</v>
      </c>
      <c r="BP502" s="53" t="s">
        <v>640</v>
      </c>
      <c r="BQ502" s="54">
        <v>39539</v>
      </c>
      <c r="BR502" s="53" t="s">
        <v>430</v>
      </c>
      <c r="BS502" s="53" t="s">
        <v>85</v>
      </c>
      <c r="BT502" s="53" t="s">
        <v>641</v>
      </c>
    </row>
    <row r="503" spans="54:72" x14ac:dyDescent="0.3">
      <c r="BB503" s="4"/>
      <c r="BK503" s="4"/>
      <c r="BL503" s="4"/>
      <c r="BO503" s="53" t="s">
        <v>114</v>
      </c>
      <c r="BP503" s="53" t="s">
        <v>642</v>
      </c>
      <c r="BQ503" s="54">
        <v>36617</v>
      </c>
      <c r="BR503" s="53" t="s">
        <v>430</v>
      </c>
      <c r="BS503" s="53" t="s">
        <v>85</v>
      </c>
      <c r="BT503" s="53" t="s">
        <v>643</v>
      </c>
    </row>
    <row r="504" spans="54:72" x14ac:dyDescent="0.3">
      <c r="BB504" s="4"/>
      <c r="BK504" s="4"/>
      <c r="BL504" s="4"/>
      <c r="BO504" s="53" t="s">
        <v>428</v>
      </c>
      <c r="BP504" s="53" t="s">
        <v>644</v>
      </c>
      <c r="BQ504" s="54">
        <v>36617</v>
      </c>
      <c r="BR504" s="53" t="s">
        <v>430</v>
      </c>
      <c r="BS504" s="53" t="s">
        <v>85</v>
      </c>
      <c r="BT504" s="53" t="s">
        <v>645</v>
      </c>
    </row>
    <row r="505" spans="54:72" x14ac:dyDescent="0.3">
      <c r="BB505" s="4"/>
      <c r="BK505" s="4"/>
      <c r="BL505" s="4"/>
      <c r="BO505" s="53" t="s">
        <v>335</v>
      </c>
      <c r="BP505" s="53" t="s">
        <v>646</v>
      </c>
      <c r="BQ505" s="54">
        <v>36617</v>
      </c>
      <c r="BR505" s="53" t="s">
        <v>430</v>
      </c>
      <c r="BS505" s="53" t="s">
        <v>85</v>
      </c>
      <c r="BT505" s="53" t="s">
        <v>647</v>
      </c>
    </row>
    <row r="506" spans="54:72" x14ac:dyDescent="0.3">
      <c r="BB506" s="4"/>
      <c r="BK506" s="4"/>
      <c r="BL506" s="4"/>
      <c r="BO506" s="53" t="s">
        <v>94</v>
      </c>
      <c r="BP506" s="53" t="s">
        <v>648</v>
      </c>
      <c r="BQ506" s="54">
        <v>37347</v>
      </c>
      <c r="BR506" s="53" t="s">
        <v>430</v>
      </c>
      <c r="BS506" s="53" t="s">
        <v>85</v>
      </c>
      <c r="BT506" s="53" t="s">
        <v>649</v>
      </c>
    </row>
    <row r="507" spans="54:72" x14ac:dyDescent="0.3">
      <c r="BB507" s="4"/>
      <c r="BK507" s="4"/>
      <c r="BL507" s="4"/>
      <c r="BO507" s="53" t="s">
        <v>194</v>
      </c>
      <c r="BP507" s="53" t="s">
        <v>650</v>
      </c>
      <c r="BQ507" s="54">
        <v>33451</v>
      </c>
      <c r="BR507" s="53" t="s">
        <v>430</v>
      </c>
      <c r="BS507" s="53" t="s">
        <v>85</v>
      </c>
      <c r="BT507" s="53" t="s">
        <v>651</v>
      </c>
    </row>
    <row r="508" spans="54:72" x14ac:dyDescent="0.3">
      <c r="BB508" s="4"/>
      <c r="BK508" s="4"/>
      <c r="BL508" s="4"/>
      <c r="BO508" s="53" t="s">
        <v>114</v>
      </c>
      <c r="BP508" s="53" t="s">
        <v>652</v>
      </c>
      <c r="BQ508" s="54">
        <v>36617</v>
      </c>
      <c r="BR508" s="53" t="s">
        <v>430</v>
      </c>
      <c r="BS508" s="53" t="s">
        <v>85</v>
      </c>
      <c r="BT508" s="53" t="s">
        <v>653</v>
      </c>
    </row>
    <row r="509" spans="54:72" x14ac:dyDescent="0.3">
      <c r="BB509" s="4"/>
      <c r="BK509" s="4"/>
      <c r="BL509" s="4"/>
      <c r="BO509" s="53" t="s">
        <v>428</v>
      </c>
      <c r="BP509" s="53" t="s">
        <v>654</v>
      </c>
      <c r="BQ509" s="54">
        <v>36617</v>
      </c>
      <c r="BR509" s="53" t="s">
        <v>430</v>
      </c>
      <c r="BS509" s="53" t="s">
        <v>85</v>
      </c>
      <c r="BT509" s="53" t="s">
        <v>655</v>
      </c>
    </row>
    <row r="510" spans="54:72" x14ac:dyDescent="0.3">
      <c r="BB510" s="4"/>
      <c r="BK510" s="4"/>
      <c r="BL510" s="4"/>
      <c r="BO510" s="53" t="s">
        <v>335</v>
      </c>
      <c r="BP510" s="53" t="s">
        <v>656</v>
      </c>
      <c r="BQ510" s="54">
        <v>36617</v>
      </c>
      <c r="BR510" s="53" t="s">
        <v>430</v>
      </c>
      <c r="BS510" s="53" t="s">
        <v>85</v>
      </c>
      <c r="BT510" s="53" t="s">
        <v>657</v>
      </c>
    </row>
    <row r="511" spans="54:72" x14ac:dyDescent="0.3">
      <c r="BB511" s="4"/>
      <c r="BK511" s="4"/>
      <c r="BL511" s="4"/>
      <c r="BO511" s="53" t="s">
        <v>94</v>
      </c>
      <c r="BP511" s="53" t="s">
        <v>658</v>
      </c>
      <c r="BQ511" s="54">
        <v>37347</v>
      </c>
      <c r="BR511" s="53" t="s">
        <v>430</v>
      </c>
      <c r="BS511" s="53" t="s">
        <v>85</v>
      </c>
      <c r="BT511" s="53" t="s">
        <v>659</v>
      </c>
    </row>
    <row r="512" spans="54:72" x14ac:dyDescent="0.3">
      <c r="BB512" s="4"/>
      <c r="BK512" s="4"/>
      <c r="BL512" s="4"/>
      <c r="BO512" s="53" t="s">
        <v>194</v>
      </c>
      <c r="BP512" s="53" t="s">
        <v>660</v>
      </c>
      <c r="BQ512" s="54">
        <v>34274</v>
      </c>
      <c r="BR512" s="53" t="s">
        <v>430</v>
      </c>
      <c r="BS512" s="53" t="s">
        <v>85</v>
      </c>
      <c r="BT512" s="53" t="s">
        <v>661</v>
      </c>
    </row>
    <row r="513" spans="54:72" x14ac:dyDescent="0.3">
      <c r="BB513" s="4"/>
      <c r="BK513" s="4"/>
      <c r="BL513" s="4"/>
      <c r="BO513" s="53" t="s">
        <v>114</v>
      </c>
      <c r="BP513" s="53" t="s">
        <v>662</v>
      </c>
      <c r="BQ513" s="54">
        <v>36617</v>
      </c>
      <c r="BR513" s="53" t="s">
        <v>430</v>
      </c>
      <c r="BS513" s="53" t="s">
        <v>85</v>
      </c>
      <c r="BT513" s="53" t="s">
        <v>663</v>
      </c>
    </row>
    <row r="514" spans="54:72" x14ac:dyDescent="0.3">
      <c r="BB514" s="4"/>
      <c r="BK514" s="4"/>
      <c r="BL514" s="4"/>
      <c r="BO514" s="53" t="s">
        <v>428</v>
      </c>
      <c r="BP514" s="53" t="s">
        <v>664</v>
      </c>
      <c r="BQ514" s="54">
        <v>36617</v>
      </c>
      <c r="BR514" s="53" t="s">
        <v>430</v>
      </c>
      <c r="BS514" s="53" t="s">
        <v>85</v>
      </c>
      <c r="BT514" s="53" t="s">
        <v>665</v>
      </c>
    </row>
    <row r="515" spans="54:72" x14ac:dyDescent="0.3">
      <c r="BB515" s="4"/>
      <c r="BK515" s="4"/>
      <c r="BL515" s="4"/>
      <c r="BO515" s="53" t="s">
        <v>335</v>
      </c>
      <c r="BP515" s="53" t="s">
        <v>666</v>
      </c>
      <c r="BQ515" s="54">
        <v>36617</v>
      </c>
      <c r="BR515" s="53" t="s">
        <v>430</v>
      </c>
      <c r="BS515" s="53" t="s">
        <v>85</v>
      </c>
      <c r="BT515" s="53" t="s">
        <v>667</v>
      </c>
    </row>
    <row r="516" spans="54:72" x14ac:dyDescent="0.3">
      <c r="BB516" s="4"/>
      <c r="BK516" s="4"/>
      <c r="BL516" s="4"/>
      <c r="BO516" s="53" t="s">
        <v>94</v>
      </c>
      <c r="BP516" s="53" t="s">
        <v>668</v>
      </c>
      <c r="BQ516" s="54">
        <v>37350</v>
      </c>
      <c r="BR516" s="53" t="s">
        <v>430</v>
      </c>
      <c r="BS516" s="53" t="s">
        <v>85</v>
      </c>
      <c r="BT516" s="53" t="s">
        <v>669</v>
      </c>
    </row>
    <row r="517" spans="54:72" x14ac:dyDescent="0.3">
      <c r="BB517" s="4"/>
      <c r="BK517" s="4"/>
      <c r="BL517" s="4"/>
      <c r="BO517" s="53" t="s">
        <v>194</v>
      </c>
      <c r="BP517" s="53" t="s">
        <v>670</v>
      </c>
      <c r="BQ517" s="54">
        <v>35004</v>
      </c>
      <c r="BR517" s="53" t="s">
        <v>430</v>
      </c>
      <c r="BS517" s="53" t="s">
        <v>85</v>
      </c>
      <c r="BT517" s="53" t="s">
        <v>671</v>
      </c>
    </row>
    <row r="518" spans="54:72" x14ac:dyDescent="0.3">
      <c r="BB518" s="4"/>
      <c r="BK518" s="4"/>
      <c r="BL518" s="4"/>
      <c r="BO518" s="53" t="s">
        <v>114</v>
      </c>
      <c r="BP518" s="53" t="s">
        <v>672</v>
      </c>
      <c r="BQ518" s="54">
        <v>36617</v>
      </c>
      <c r="BR518" s="53" t="s">
        <v>430</v>
      </c>
      <c r="BS518" s="53" t="s">
        <v>85</v>
      </c>
      <c r="BT518" s="53" t="s">
        <v>673</v>
      </c>
    </row>
    <row r="519" spans="54:72" x14ac:dyDescent="0.3">
      <c r="BB519" s="4"/>
      <c r="BK519" s="4"/>
      <c r="BL519" s="4"/>
      <c r="BO519" s="53" t="s">
        <v>428</v>
      </c>
      <c r="BP519" s="53" t="s">
        <v>674</v>
      </c>
      <c r="BQ519" s="54">
        <v>36617</v>
      </c>
      <c r="BR519" s="53" t="s">
        <v>430</v>
      </c>
      <c r="BS519" s="53" t="s">
        <v>85</v>
      </c>
      <c r="BT519" s="53" t="s">
        <v>675</v>
      </c>
    </row>
    <row r="520" spans="54:72" x14ac:dyDescent="0.3">
      <c r="BB520" s="4"/>
      <c r="BK520" s="4"/>
      <c r="BL520" s="4"/>
      <c r="BO520" s="53" t="s">
        <v>335</v>
      </c>
      <c r="BP520" s="53" t="s">
        <v>676</v>
      </c>
      <c r="BQ520" s="54">
        <v>36617</v>
      </c>
      <c r="BR520" s="53" t="s">
        <v>430</v>
      </c>
      <c r="BS520" s="53" t="s">
        <v>85</v>
      </c>
      <c r="BT520" s="53" t="s">
        <v>677</v>
      </c>
    </row>
    <row r="521" spans="54:72" x14ac:dyDescent="0.3">
      <c r="BB521" s="4"/>
      <c r="BK521" s="4"/>
      <c r="BL521" s="4"/>
      <c r="BO521" s="53" t="s">
        <v>94</v>
      </c>
      <c r="BP521" s="53" t="s">
        <v>678</v>
      </c>
      <c r="BQ521" s="54">
        <v>37347</v>
      </c>
      <c r="BR521" s="53" t="s">
        <v>430</v>
      </c>
      <c r="BS521" s="53" t="s">
        <v>85</v>
      </c>
      <c r="BT521" s="53" t="s">
        <v>679</v>
      </c>
    </row>
    <row r="522" spans="54:72" x14ac:dyDescent="0.3">
      <c r="BB522" s="4"/>
      <c r="BK522" s="4"/>
      <c r="BL522" s="4"/>
      <c r="BO522" s="53" t="s">
        <v>194</v>
      </c>
      <c r="BP522" s="53" t="s">
        <v>680</v>
      </c>
      <c r="BQ522" s="54">
        <v>35600</v>
      </c>
      <c r="BR522" s="53" t="s">
        <v>430</v>
      </c>
      <c r="BS522" s="53" t="s">
        <v>85</v>
      </c>
      <c r="BT522" s="53" t="s">
        <v>681</v>
      </c>
    </row>
    <row r="523" spans="54:72" x14ac:dyDescent="0.3">
      <c r="BB523" s="4"/>
      <c r="BK523" s="4"/>
      <c r="BL523" s="4"/>
      <c r="BO523" s="53" t="s">
        <v>94</v>
      </c>
      <c r="BP523" s="53" t="s">
        <v>1246</v>
      </c>
      <c r="BQ523" s="54">
        <v>44927</v>
      </c>
      <c r="BR523" s="53" t="s">
        <v>682</v>
      </c>
      <c r="BS523" s="53" t="s">
        <v>99</v>
      </c>
      <c r="BT523" s="53" t="s">
        <v>949</v>
      </c>
    </row>
    <row r="524" spans="54:72" x14ac:dyDescent="0.3">
      <c r="BB524" s="4"/>
      <c r="BK524" s="4"/>
      <c r="BL524" s="4"/>
      <c r="BO524" s="53" t="s">
        <v>94</v>
      </c>
      <c r="BP524" s="53" t="s">
        <v>951</v>
      </c>
      <c r="BQ524" s="54">
        <v>45292</v>
      </c>
      <c r="BR524" s="53" t="s">
        <v>682</v>
      </c>
      <c r="BS524" s="53" t="s">
        <v>99</v>
      </c>
      <c r="BT524" s="53" t="s">
        <v>950</v>
      </c>
    </row>
    <row r="525" spans="54:72" x14ac:dyDescent="0.3">
      <c r="BB525" s="4"/>
      <c r="BK525" s="4"/>
      <c r="BL525" s="4"/>
      <c r="BO525" s="53" t="s">
        <v>94</v>
      </c>
      <c r="BP525" s="53" t="s">
        <v>1688</v>
      </c>
      <c r="BQ525" s="54">
        <v>44927</v>
      </c>
      <c r="BR525" s="53" t="s">
        <v>682</v>
      </c>
      <c r="BS525" s="53" t="s">
        <v>153</v>
      </c>
      <c r="BT525" s="53" t="s">
        <v>1687</v>
      </c>
    </row>
    <row r="526" spans="54:72" x14ac:dyDescent="0.3">
      <c r="BB526" s="4"/>
      <c r="BK526" s="4"/>
      <c r="BL526" s="4"/>
      <c r="BO526" s="53" t="s">
        <v>94</v>
      </c>
      <c r="BP526" s="53" t="s">
        <v>1406</v>
      </c>
      <c r="BQ526" s="54">
        <v>44958</v>
      </c>
      <c r="BR526" s="53" t="s">
        <v>682</v>
      </c>
      <c r="BS526" s="53" t="s">
        <v>948</v>
      </c>
      <c r="BT526" s="53" t="s">
        <v>1405</v>
      </c>
    </row>
    <row r="527" spans="54:72" x14ac:dyDescent="0.3">
      <c r="BB527" s="4"/>
      <c r="BK527" s="4"/>
      <c r="BL527" s="4"/>
      <c r="BO527" s="53" t="s">
        <v>94</v>
      </c>
      <c r="BP527" s="53" t="s">
        <v>1408</v>
      </c>
      <c r="BQ527" s="54">
        <v>45323</v>
      </c>
      <c r="BR527" s="53" t="s">
        <v>682</v>
      </c>
      <c r="BS527" s="53" t="s">
        <v>948</v>
      </c>
      <c r="BT527" s="53" t="s">
        <v>1407</v>
      </c>
    </row>
    <row r="528" spans="54:72" x14ac:dyDescent="0.3">
      <c r="BB528" s="4"/>
      <c r="BK528" s="4"/>
      <c r="BL528" s="4"/>
      <c r="BO528" s="53" t="s">
        <v>94</v>
      </c>
      <c r="BP528" s="53" t="s">
        <v>1410</v>
      </c>
      <c r="BQ528" s="54">
        <v>45689</v>
      </c>
      <c r="BR528" s="53" t="s">
        <v>682</v>
      </c>
      <c r="BS528" s="53" t="s">
        <v>948</v>
      </c>
      <c r="BT528" s="53" t="s">
        <v>1409</v>
      </c>
    </row>
    <row r="529" spans="54:72" x14ac:dyDescent="0.3">
      <c r="BB529" s="4"/>
      <c r="BK529" s="4"/>
      <c r="BL529" s="4"/>
      <c r="BO529" s="53" t="s">
        <v>94</v>
      </c>
      <c r="BP529" s="53" t="s">
        <v>1690</v>
      </c>
      <c r="BQ529" s="54">
        <v>45017</v>
      </c>
      <c r="BR529" s="53" t="s">
        <v>682</v>
      </c>
      <c r="BS529" s="53" t="s">
        <v>180</v>
      </c>
      <c r="BT529" s="53" t="s">
        <v>1689</v>
      </c>
    </row>
    <row r="530" spans="54:72" x14ac:dyDescent="0.3">
      <c r="BB530" s="4"/>
      <c r="BK530" s="4"/>
      <c r="BL530" s="4"/>
      <c r="BO530" s="53" t="s">
        <v>94</v>
      </c>
      <c r="BP530" s="53" t="s">
        <v>1412</v>
      </c>
      <c r="BQ530" s="54">
        <v>44927</v>
      </c>
      <c r="BR530" s="53" t="s">
        <v>682</v>
      </c>
      <c r="BS530" s="53" t="s">
        <v>142</v>
      </c>
      <c r="BT530" s="53" t="s">
        <v>1411</v>
      </c>
    </row>
    <row r="531" spans="54:72" x14ac:dyDescent="0.3">
      <c r="BB531" s="4"/>
      <c r="BK531" s="4"/>
      <c r="BL531" s="4"/>
      <c r="BO531" s="53" t="s">
        <v>94</v>
      </c>
      <c r="BP531" s="53" t="s">
        <v>2075</v>
      </c>
      <c r="BQ531" s="54">
        <v>45292</v>
      </c>
      <c r="BR531" s="53" t="s">
        <v>682</v>
      </c>
      <c r="BS531" s="53" t="s">
        <v>142</v>
      </c>
      <c r="BT531" s="53" t="s">
        <v>2074</v>
      </c>
    </row>
    <row r="532" spans="54:72" x14ac:dyDescent="0.3">
      <c r="BB532" s="4"/>
      <c r="BK532" s="4"/>
      <c r="BL532" s="4"/>
      <c r="BO532" s="53" t="s">
        <v>94</v>
      </c>
      <c r="BP532" s="53" t="s">
        <v>991</v>
      </c>
      <c r="BQ532" s="54">
        <v>45047</v>
      </c>
      <c r="BR532" s="53" t="s">
        <v>682</v>
      </c>
      <c r="BS532" s="53" t="s">
        <v>156</v>
      </c>
      <c r="BT532" s="53" t="s">
        <v>990</v>
      </c>
    </row>
    <row r="533" spans="54:72" x14ac:dyDescent="0.3">
      <c r="BB533" s="4"/>
      <c r="BK533" s="4"/>
      <c r="BL533" s="4"/>
      <c r="BO533" s="53" t="s">
        <v>94</v>
      </c>
      <c r="BP533" s="53" t="s">
        <v>1002</v>
      </c>
      <c r="BQ533" s="54">
        <v>45413</v>
      </c>
      <c r="BR533" s="53" t="s">
        <v>682</v>
      </c>
      <c r="BS533" s="53" t="s">
        <v>156</v>
      </c>
      <c r="BT533" s="53" t="s">
        <v>1001</v>
      </c>
    </row>
    <row r="534" spans="54:72" x14ac:dyDescent="0.3">
      <c r="BB534" s="4"/>
      <c r="BK534" s="4"/>
      <c r="BL534" s="4"/>
      <c r="BO534" s="53" t="s">
        <v>94</v>
      </c>
      <c r="BP534" s="53" t="s">
        <v>1441</v>
      </c>
      <c r="BQ534" s="54">
        <v>45008</v>
      </c>
      <c r="BR534" s="53" t="s">
        <v>682</v>
      </c>
      <c r="BS534" s="53" t="s">
        <v>346</v>
      </c>
      <c r="BT534" s="53" t="s">
        <v>1440</v>
      </c>
    </row>
    <row r="535" spans="54:72" x14ac:dyDescent="0.3">
      <c r="BB535" s="4"/>
      <c r="BK535" s="4"/>
      <c r="BL535" s="4"/>
      <c r="BO535" s="53" t="s">
        <v>94</v>
      </c>
      <c r="BP535" s="53" t="s">
        <v>1568</v>
      </c>
      <c r="BQ535" s="54">
        <v>45108</v>
      </c>
      <c r="BR535" s="53" t="s">
        <v>682</v>
      </c>
      <c r="BS535" s="53" t="s">
        <v>1569</v>
      </c>
      <c r="BT535" s="53" t="s">
        <v>1567</v>
      </c>
    </row>
    <row r="536" spans="54:72" x14ac:dyDescent="0.3">
      <c r="BB536" s="4"/>
      <c r="BK536" s="4"/>
      <c r="BL536" s="4"/>
      <c r="BO536" s="53" t="s">
        <v>94</v>
      </c>
      <c r="BP536" s="53" t="s">
        <v>1799</v>
      </c>
      <c r="BQ536" s="54">
        <v>44927</v>
      </c>
      <c r="BR536" s="53" t="s">
        <v>682</v>
      </c>
      <c r="BS536" s="53" t="s">
        <v>187</v>
      </c>
      <c r="BT536" s="53" t="s">
        <v>1794</v>
      </c>
    </row>
    <row r="537" spans="54:72" x14ac:dyDescent="0.3">
      <c r="BB537" s="4"/>
      <c r="BK537" s="4"/>
      <c r="BL537" s="4"/>
      <c r="BO537" s="53" t="s">
        <v>94</v>
      </c>
      <c r="BP537" s="53" t="s">
        <v>1800</v>
      </c>
      <c r="BQ537" s="54">
        <v>45292</v>
      </c>
      <c r="BR537" s="53" t="s">
        <v>682</v>
      </c>
      <c r="BS537" s="53" t="s">
        <v>187</v>
      </c>
      <c r="BT537" s="53" t="s">
        <v>1795</v>
      </c>
    </row>
    <row r="538" spans="54:72" x14ac:dyDescent="0.3">
      <c r="BB538" s="4"/>
      <c r="BK538" s="4"/>
      <c r="BL538" s="4"/>
      <c r="BO538" s="53" t="s">
        <v>94</v>
      </c>
      <c r="BP538" s="53" t="s">
        <v>1801</v>
      </c>
      <c r="BQ538" s="54">
        <v>45658</v>
      </c>
      <c r="BR538" s="53" t="s">
        <v>682</v>
      </c>
      <c r="BS538" s="53" t="s">
        <v>187</v>
      </c>
      <c r="BT538" s="53" t="s">
        <v>1796</v>
      </c>
    </row>
    <row r="539" spans="54:72" x14ac:dyDescent="0.3">
      <c r="BB539" s="4"/>
      <c r="BK539" s="4"/>
      <c r="BL539" s="4"/>
      <c r="BO539" s="53" t="s">
        <v>94</v>
      </c>
      <c r="BP539" s="53" t="s">
        <v>1412</v>
      </c>
      <c r="BQ539" s="54">
        <v>44927</v>
      </c>
      <c r="BR539" s="53" t="s">
        <v>682</v>
      </c>
      <c r="BS539" s="53" t="s">
        <v>190</v>
      </c>
      <c r="BT539" s="53" t="s">
        <v>1413</v>
      </c>
    </row>
    <row r="540" spans="54:72" x14ac:dyDescent="0.3">
      <c r="BB540" s="4"/>
      <c r="BK540" s="4"/>
      <c r="BL540" s="4"/>
      <c r="BO540" s="53" t="s">
        <v>94</v>
      </c>
      <c r="BP540" s="53" t="s">
        <v>2075</v>
      </c>
      <c r="BQ540" s="54">
        <v>45292</v>
      </c>
      <c r="BR540" s="53" t="s">
        <v>682</v>
      </c>
      <c r="BS540" s="53" t="s">
        <v>190</v>
      </c>
      <c r="BT540" s="53" t="s">
        <v>2090</v>
      </c>
    </row>
    <row r="541" spans="54:72" x14ac:dyDescent="0.3">
      <c r="BB541" s="4"/>
      <c r="BK541" s="4"/>
      <c r="BL541" s="4"/>
      <c r="BO541" s="53" t="s">
        <v>94</v>
      </c>
      <c r="BP541" s="53" t="s">
        <v>2077</v>
      </c>
      <c r="BQ541" s="54">
        <v>45139</v>
      </c>
      <c r="BR541" s="53" t="s">
        <v>682</v>
      </c>
      <c r="BS541" s="53" t="s">
        <v>683</v>
      </c>
      <c r="BT541" s="53" t="s">
        <v>2076</v>
      </c>
    </row>
    <row r="542" spans="54:72" x14ac:dyDescent="0.3">
      <c r="BB542" s="4"/>
      <c r="BO542" s="53" t="s">
        <v>94</v>
      </c>
      <c r="BP542" s="53" t="s">
        <v>2079</v>
      </c>
      <c r="BQ542" s="54">
        <v>45505</v>
      </c>
      <c r="BR542" s="53" t="s">
        <v>682</v>
      </c>
      <c r="BS542" s="53" t="s">
        <v>683</v>
      </c>
      <c r="BT542" s="53" t="s">
        <v>2078</v>
      </c>
    </row>
    <row r="543" spans="54:72" x14ac:dyDescent="0.3">
      <c r="BB543" s="4"/>
      <c r="BO543" s="53" t="s">
        <v>94</v>
      </c>
      <c r="BP543" s="53" t="s">
        <v>2081</v>
      </c>
      <c r="BQ543" s="54">
        <v>45870</v>
      </c>
      <c r="BR543" s="53" t="s">
        <v>682</v>
      </c>
      <c r="BS543" s="53" t="s">
        <v>683</v>
      </c>
      <c r="BT543" s="53" t="s">
        <v>2080</v>
      </c>
    </row>
    <row r="544" spans="54:72" x14ac:dyDescent="0.3">
      <c r="BB544" s="4"/>
      <c r="BO544" s="53" t="s">
        <v>94</v>
      </c>
      <c r="BP544" s="53" t="s">
        <v>953</v>
      </c>
      <c r="BQ544" s="54">
        <v>44927</v>
      </c>
      <c r="BR544" s="53" t="s">
        <v>682</v>
      </c>
      <c r="BS544" s="53" t="s">
        <v>153</v>
      </c>
      <c r="BT544" s="53" t="s">
        <v>952</v>
      </c>
    </row>
    <row r="545" spans="54:72" x14ac:dyDescent="0.3">
      <c r="BB545" s="4"/>
      <c r="BO545" s="53" t="s">
        <v>94</v>
      </c>
      <c r="BP545" s="53" t="s">
        <v>955</v>
      </c>
      <c r="BQ545" s="54">
        <v>45292</v>
      </c>
      <c r="BR545" s="53" t="s">
        <v>682</v>
      </c>
      <c r="BS545" s="53" t="s">
        <v>153</v>
      </c>
      <c r="BT545" s="53" t="s">
        <v>954</v>
      </c>
    </row>
    <row r="546" spans="54:72" x14ac:dyDescent="0.3">
      <c r="BB546" s="4"/>
      <c r="BO546" s="53" t="s">
        <v>94</v>
      </c>
      <c r="BP546" s="53" t="s">
        <v>684</v>
      </c>
      <c r="BQ546" s="54">
        <v>44958</v>
      </c>
      <c r="BR546" s="53" t="s">
        <v>682</v>
      </c>
      <c r="BS546" s="53" t="s">
        <v>115</v>
      </c>
      <c r="BT546" s="53" t="s">
        <v>685</v>
      </c>
    </row>
    <row r="547" spans="54:72" x14ac:dyDescent="0.3">
      <c r="BB547" s="4"/>
      <c r="BO547" s="53" t="s">
        <v>94</v>
      </c>
      <c r="BP547" s="53" t="s">
        <v>1692</v>
      </c>
      <c r="BQ547" s="54">
        <v>45108</v>
      </c>
      <c r="BR547" s="53" t="s">
        <v>682</v>
      </c>
      <c r="BS547" s="53" t="s">
        <v>321</v>
      </c>
      <c r="BT547" s="53" t="s">
        <v>1691</v>
      </c>
    </row>
    <row r="548" spans="54:72" x14ac:dyDescent="0.3">
      <c r="BB548" s="4"/>
      <c r="BO548" s="53" t="s">
        <v>94</v>
      </c>
      <c r="BP548" s="53" t="s">
        <v>1766</v>
      </c>
      <c r="BQ548" s="54">
        <v>45078</v>
      </c>
      <c r="BR548" s="53" t="s">
        <v>682</v>
      </c>
      <c r="BS548" s="53" t="s">
        <v>252</v>
      </c>
      <c r="BT548" s="53" t="s">
        <v>1765</v>
      </c>
    </row>
    <row r="549" spans="54:72" x14ac:dyDescent="0.3">
      <c r="BB549" s="4"/>
      <c r="BO549" s="53" t="s">
        <v>94</v>
      </c>
      <c r="BP549" s="53" t="s">
        <v>1768</v>
      </c>
      <c r="BQ549" s="54">
        <v>45444</v>
      </c>
      <c r="BR549" s="53" t="s">
        <v>682</v>
      </c>
      <c r="BS549" s="53" t="s">
        <v>252</v>
      </c>
      <c r="BT549" s="53" t="s">
        <v>1767</v>
      </c>
    </row>
    <row r="550" spans="54:72" x14ac:dyDescent="0.3">
      <c r="BB550" s="4"/>
      <c r="BO550" s="53" t="s">
        <v>94</v>
      </c>
      <c r="BP550" s="53" t="s">
        <v>1770</v>
      </c>
      <c r="BQ550" s="54">
        <v>45809</v>
      </c>
      <c r="BR550" s="53" t="s">
        <v>682</v>
      </c>
      <c r="BS550" s="53" t="s">
        <v>252</v>
      </c>
      <c r="BT550" s="53" t="s">
        <v>1769</v>
      </c>
    </row>
    <row r="551" spans="54:72" x14ac:dyDescent="0.3">
      <c r="BB551" s="4"/>
      <c r="BO551" s="53" t="s">
        <v>94</v>
      </c>
      <c r="BP551" s="53" t="s">
        <v>686</v>
      </c>
      <c r="BQ551" s="54">
        <v>44946</v>
      </c>
      <c r="BR551" s="53" t="s">
        <v>682</v>
      </c>
      <c r="BS551" s="53" t="s">
        <v>247</v>
      </c>
      <c r="BT551" s="53" t="s">
        <v>687</v>
      </c>
    </row>
    <row r="552" spans="54:72" x14ac:dyDescent="0.3">
      <c r="BB552" s="4"/>
      <c r="BO552" s="53" t="s">
        <v>94</v>
      </c>
      <c r="BP552" s="53" t="s">
        <v>1415</v>
      </c>
      <c r="BQ552" s="54">
        <v>44927</v>
      </c>
      <c r="BR552" s="53" t="s">
        <v>682</v>
      </c>
      <c r="BS552" s="53" t="s">
        <v>195</v>
      </c>
      <c r="BT552" s="53" t="s">
        <v>1414</v>
      </c>
    </row>
    <row r="553" spans="54:72" x14ac:dyDescent="0.3">
      <c r="BB553" s="4"/>
      <c r="BO553" s="53" t="s">
        <v>94</v>
      </c>
      <c r="BP553" s="53" t="s">
        <v>1417</v>
      </c>
      <c r="BQ553" s="54">
        <v>45292</v>
      </c>
      <c r="BR553" s="53" t="s">
        <v>682</v>
      </c>
      <c r="BS553" s="53" t="s">
        <v>195</v>
      </c>
      <c r="BT553" s="53" t="s">
        <v>1416</v>
      </c>
    </row>
    <row r="554" spans="54:72" x14ac:dyDescent="0.3">
      <c r="BB554" s="4"/>
      <c r="BO554" s="53" t="s">
        <v>266</v>
      </c>
      <c r="BP554" s="53" t="s">
        <v>688</v>
      </c>
      <c r="BQ554" s="54">
        <v>43809</v>
      </c>
      <c r="BR554" s="53" t="s">
        <v>682</v>
      </c>
      <c r="BS554" s="53" t="s">
        <v>341</v>
      </c>
      <c r="BT554" s="53" t="s">
        <v>689</v>
      </c>
    </row>
    <row r="555" spans="54:72" x14ac:dyDescent="0.3">
      <c r="BB555" s="4"/>
      <c r="BO555" s="53" t="s">
        <v>94</v>
      </c>
      <c r="BP555" s="53" t="s">
        <v>1551</v>
      </c>
      <c r="BQ555" s="54">
        <v>45096</v>
      </c>
      <c r="BR555" s="53" t="s">
        <v>682</v>
      </c>
      <c r="BS555" s="53" t="s">
        <v>1971</v>
      </c>
      <c r="BT555" s="53" t="s">
        <v>1550</v>
      </c>
    </row>
    <row r="556" spans="54:72" x14ac:dyDescent="0.3">
      <c r="BB556" s="4"/>
      <c r="BO556" s="53" t="s">
        <v>125</v>
      </c>
      <c r="BP556" s="53" t="s">
        <v>690</v>
      </c>
      <c r="BQ556" s="54">
        <v>43818</v>
      </c>
      <c r="BR556" s="53" t="s">
        <v>682</v>
      </c>
      <c r="BS556" s="53" t="s">
        <v>341</v>
      </c>
      <c r="BT556" s="53" t="s">
        <v>691</v>
      </c>
    </row>
    <row r="557" spans="54:72" x14ac:dyDescent="0.3">
      <c r="BB557" s="4"/>
      <c r="BO557" s="53" t="s">
        <v>125</v>
      </c>
      <c r="BP557" s="53" t="s">
        <v>692</v>
      </c>
      <c r="BQ557" s="54">
        <v>44075</v>
      </c>
      <c r="BR557" s="53" t="s">
        <v>682</v>
      </c>
      <c r="BS557" s="53" t="s">
        <v>363</v>
      </c>
      <c r="BT557" s="53" t="s">
        <v>693</v>
      </c>
    </row>
    <row r="558" spans="54:72" x14ac:dyDescent="0.3">
      <c r="BB558" s="4"/>
      <c r="BO558" s="53" t="s">
        <v>94</v>
      </c>
      <c r="BP558" s="53" t="s">
        <v>1419</v>
      </c>
      <c r="BQ558" s="54">
        <v>44986</v>
      </c>
      <c r="BR558" s="53" t="s">
        <v>682</v>
      </c>
      <c r="BS558" s="53" t="s">
        <v>1420</v>
      </c>
      <c r="BT558" s="53" t="s">
        <v>1418</v>
      </c>
    </row>
    <row r="559" spans="54:72" x14ac:dyDescent="0.3">
      <c r="BB559" s="4"/>
      <c r="BO559" s="53" t="s">
        <v>94</v>
      </c>
      <c r="BP559" s="53" t="s">
        <v>1543</v>
      </c>
      <c r="BQ559" s="54">
        <v>45035</v>
      </c>
      <c r="BR559" s="53" t="s">
        <v>682</v>
      </c>
      <c r="BS559" s="53" t="s">
        <v>205</v>
      </c>
      <c r="BT559" s="53" t="s">
        <v>1428</v>
      </c>
    </row>
    <row r="560" spans="54:72" x14ac:dyDescent="0.3">
      <c r="BB560" s="4"/>
      <c r="BO560" s="53" t="s">
        <v>125</v>
      </c>
      <c r="BP560" s="53" t="s">
        <v>1316</v>
      </c>
      <c r="BQ560" s="54">
        <v>45005</v>
      </c>
      <c r="BR560" s="53" t="s">
        <v>682</v>
      </c>
      <c r="BS560" s="53" t="s">
        <v>1300</v>
      </c>
      <c r="BT560" s="53" t="s">
        <v>1315</v>
      </c>
    </row>
    <row r="561" spans="54:72" x14ac:dyDescent="0.3">
      <c r="BB561" s="4"/>
      <c r="BO561" s="53" t="s">
        <v>94</v>
      </c>
      <c r="BP561" s="53" t="s">
        <v>1772</v>
      </c>
      <c r="BQ561" s="54">
        <v>45161</v>
      </c>
      <c r="BR561" s="53" t="s">
        <v>682</v>
      </c>
      <c r="BS561" s="53" t="s">
        <v>1773</v>
      </c>
      <c r="BT561" s="53" t="s">
        <v>1771</v>
      </c>
    </row>
    <row r="562" spans="54:72" x14ac:dyDescent="0.3">
      <c r="BB562" s="4"/>
      <c r="BO562" s="53" t="s">
        <v>125</v>
      </c>
      <c r="BP562" s="53" t="s">
        <v>1745</v>
      </c>
      <c r="BQ562" s="54">
        <v>45186</v>
      </c>
      <c r="BR562" s="53" t="s">
        <v>682</v>
      </c>
      <c r="BS562" s="53" t="s">
        <v>1746</v>
      </c>
      <c r="BT562" s="53" t="s">
        <v>1744</v>
      </c>
    </row>
    <row r="563" spans="54:72" x14ac:dyDescent="0.3">
      <c r="BB563" s="4"/>
      <c r="BO563" s="53" t="s">
        <v>94</v>
      </c>
      <c r="BP563" s="53" t="s">
        <v>1412</v>
      </c>
      <c r="BQ563" s="54">
        <v>44927</v>
      </c>
      <c r="BR563" s="53" t="s">
        <v>682</v>
      </c>
      <c r="BS563" s="53" t="s">
        <v>1545</v>
      </c>
      <c r="BT563" s="53" t="s">
        <v>1544</v>
      </c>
    </row>
    <row r="564" spans="54:72" x14ac:dyDescent="0.3">
      <c r="BB564" s="4"/>
      <c r="BO564" s="53" t="s">
        <v>94</v>
      </c>
      <c r="BP564" s="53" t="s">
        <v>2075</v>
      </c>
      <c r="BQ564" s="54">
        <v>45292</v>
      </c>
      <c r="BR564" s="53" t="s">
        <v>682</v>
      </c>
      <c r="BS564" s="53" t="s">
        <v>1545</v>
      </c>
      <c r="BT564" s="53" t="s">
        <v>2082</v>
      </c>
    </row>
    <row r="565" spans="54:72" x14ac:dyDescent="0.3">
      <c r="BB565" s="4"/>
      <c r="BO565" s="53" t="s">
        <v>94</v>
      </c>
      <c r="BP565" s="53" t="s">
        <v>1460</v>
      </c>
      <c r="BQ565" s="54">
        <v>45017</v>
      </c>
      <c r="BR565" s="53" t="s">
        <v>682</v>
      </c>
      <c r="BS565" s="53" t="s">
        <v>128</v>
      </c>
      <c r="BT565" s="53" t="s">
        <v>1459</v>
      </c>
    </row>
    <row r="566" spans="54:72" x14ac:dyDescent="0.3">
      <c r="BB566" s="4"/>
      <c r="BO566" s="53" t="s">
        <v>94</v>
      </c>
      <c r="BP566" s="53" t="s">
        <v>1248</v>
      </c>
      <c r="BQ566" s="54">
        <v>44927</v>
      </c>
      <c r="BR566" s="53" t="s">
        <v>682</v>
      </c>
      <c r="BS566" s="53" t="s">
        <v>887</v>
      </c>
      <c r="BT566" s="53" t="s">
        <v>1247</v>
      </c>
    </row>
    <row r="567" spans="54:72" x14ac:dyDescent="0.3">
      <c r="BB567" s="4"/>
      <c r="BO567" s="53" t="s">
        <v>94</v>
      </c>
      <c r="BP567" s="53" t="s">
        <v>1250</v>
      </c>
      <c r="BQ567" s="54">
        <v>45292</v>
      </c>
      <c r="BR567" s="53" t="s">
        <v>682</v>
      </c>
      <c r="BS567" s="53" t="s">
        <v>887</v>
      </c>
      <c r="BT567" s="53" t="s">
        <v>1249</v>
      </c>
    </row>
    <row r="568" spans="54:72" x14ac:dyDescent="0.3">
      <c r="BO568" s="53" t="s">
        <v>94</v>
      </c>
      <c r="BP568" s="53" t="s">
        <v>1252</v>
      </c>
      <c r="BQ568" s="54">
        <v>45658</v>
      </c>
      <c r="BR568" s="53" t="s">
        <v>682</v>
      </c>
      <c r="BS568" s="53" t="s">
        <v>887</v>
      </c>
      <c r="BT568" s="53" t="s">
        <v>1251</v>
      </c>
    </row>
    <row r="569" spans="54:72" x14ac:dyDescent="0.3">
      <c r="BO569" s="53" t="s">
        <v>94</v>
      </c>
      <c r="BP569" s="53" t="s">
        <v>696</v>
      </c>
      <c r="BQ569" s="54">
        <v>45139</v>
      </c>
      <c r="BR569" s="53" t="s">
        <v>682</v>
      </c>
      <c r="BS569" s="53" t="s">
        <v>695</v>
      </c>
      <c r="BT569" s="53" t="s">
        <v>697</v>
      </c>
    </row>
    <row r="570" spans="54:72" x14ac:dyDescent="0.3">
      <c r="BO570" s="53" t="s">
        <v>125</v>
      </c>
      <c r="BP570" s="53" t="s">
        <v>1910</v>
      </c>
      <c r="BQ570" s="54">
        <v>45231</v>
      </c>
      <c r="BR570" s="53" t="s">
        <v>699</v>
      </c>
      <c r="BS570" s="53" t="s">
        <v>1113</v>
      </c>
      <c r="BT570" s="53" t="s">
        <v>1909</v>
      </c>
    </row>
    <row r="571" spans="54:72" x14ac:dyDescent="0.3">
      <c r="BO571" s="53" t="s">
        <v>125</v>
      </c>
      <c r="BP571" s="53" t="s">
        <v>1960</v>
      </c>
      <c r="BQ571" s="54">
        <v>45239</v>
      </c>
      <c r="BR571" s="53" t="s">
        <v>699</v>
      </c>
      <c r="BS571" s="53" t="s">
        <v>1113</v>
      </c>
      <c r="BT571" s="53" t="s">
        <v>1959</v>
      </c>
    </row>
    <row r="572" spans="54:72" x14ac:dyDescent="0.3">
      <c r="BO572" s="53" t="s">
        <v>84</v>
      </c>
      <c r="BP572" s="53" t="s">
        <v>1463</v>
      </c>
      <c r="BQ572" s="54">
        <v>45057</v>
      </c>
      <c r="BR572" s="53" t="s">
        <v>699</v>
      </c>
      <c r="BS572" s="53" t="s">
        <v>1464</v>
      </c>
      <c r="BT572" s="53" t="s">
        <v>1462</v>
      </c>
    </row>
    <row r="573" spans="54:72" x14ac:dyDescent="0.3">
      <c r="BO573" s="53" t="s">
        <v>125</v>
      </c>
      <c r="BP573" s="53" t="s">
        <v>1318</v>
      </c>
      <c r="BQ573" s="54">
        <v>44988</v>
      </c>
      <c r="BR573" s="53" t="s">
        <v>699</v>
      </c>
      <c r="BS573" s="53" t="s">
        <v>919</v>
      </c>
      <c r="BT573" s="53" t="s">
        <v>1317</v>
      </c>
    </row>
    <row r="574" spans="54:72" x14ac:dyDescent="0.3">
      <c r="BO574" s="53" t="s">
        <v>84</v>
      </c>
      <c r="BP574" s="53" t="s">
        <v>1506</v>
      </c>
      <c r="BQ574" s="54">
        <v>45076</v>
      </c>
      <c r="BR574" s="53" t="s">
        <v>699</v>
      </c>
      <c r="BS574" s="53" t="s">
        <v>339</v>
      </c>
      <c r="BT574" s="53" t="s">
        <v>1505</v>
      </c>
    </row>
    <row r="575" spans="54:72" x14ac:dyDescent="0.3">
      <c r="BO575" s="53" t="s">
        <v>125</v>
      </c>
      <c r="BP575" s="53" t="s">
        <v>1748</v>
      </c>
      <c r="BQ575" s="54">
        <v>45180</v>
      </c>
      <c r="BR575" s="53" t="s">
        <v>699</v>
      </c>
      <c r="BS575" s="53" t="s">
        <v>919</v>
      </c>
      <c r="BT575" s="53" t="s">
        <v>1747</v>
      </c>
    </row>
    <row r="576" spans="54:72" x14ac:dyDescent="0.3">
      <c r="BO576" s="53" t="s">
        <v>125</v>
      </c>
      <c r="BP576" s="53" t="s">
        <v>1319</v>
      </c>
      <c r="BQ576" s="54">
        <v>45247</v>
      </c>
      <c r="BR576" s="53" t="s">
        <v>699</v>
      </c>
      <c r="BS576" s="53" t="s">
        <v>353</v>
      </c>
      <c r="BT576" s="53" t="s">
        <v>1980</v>
      </c>
    </row>
    <row r="577" spans="67:72" x14ac:dyDescent="0.3">
      <c r="BO577" s="53" t="s">
        <v>125</v>
      </c>
      <c r="BP577" s="53" t="s">
        <v>702</v>
      </c>
      <c r="BQ577" s="54">
        <v>43306</v>
      </c>
      <c r="BR577" s="53" t="s">
        <v>701</v>
      </c>
      <c r="BS577" s="53" t="s">
        <v>267</v>
      </c>
      <c r="BT577" s="53" t="s">
        <v>703</v>
      </c>
    </row>
    <row r="578" spans="67:72" x14ac:dyDescent="0.3">
      <c r="BO578" s="53" t="s">
        <v>125</v>
      </c>
      <c r="BP578" s="53" t="s">
        <v>704</v>
      </c>
      <c r="BQ578" s="54">
        <v>43426</v>
      </c>
      <c r="BR578" s="53" t="s">
        <v>701</v>
      </c>
      <c r="BS578" s="53" t="s">
        <v>132</v>
      </c>
      <c r="BT578" s="53" t="s">
        <v>705</v>
      </c>
    </row>
    <row r="579" spans="67:72" x14ac:dyDescent="0.3">
      <c r="BO579" s="53" t="s">
        <v>125</v>
      </c>
      <c r="BP579" s="53" t="s">
        <v>706</v>
      </c>
      <c r="BQ579" s="54">
        <v>43529</v>
      </c>
      <c r="BR579" s="53" t="s">
        <v>701</v>
      </c>
      <c r="BS579" s="53" t="s">
        <v>132</v>
      </c>
      <c r="BT579" s="53" t="s">
        <v>707</v>
      </c>
    </row>
    <row r="580" spans="67:72" x14ac:dyDescent="0.3">
      <c r="BO580" s="53" t="s">
        <v>125</v>
      </c>
      <c r="BP580" s="53" t="s">
        <v>708</v>
      </c>
      <c r="BQ580" s="54">
        <v>43782</v>
      </c>
      <c r="BR580" s="53" t="s">
        <v>701</v>
      </c>
      <c r="BS580" s="53" t="s">
        <v>267</v>
      </c>
      <c r="BT580" s="53" t="s">
        <v>709</v>
      </c>
    </row>
    <row r="581" spans="67:72" x14ac:dyDescent="0.3">
      <c r="BO581" s="53" t="s">
        <v>125</v>
      </c>
      <c r="BP581" s="53" t="s">
        <v>710</v>
      </c>
      <c r="BQ581" s="54">
        <v>44090</v>
      </c>
      <c r="BR581" s="53" t="s">
        <v>701</v>
      </c>
      <c r="BS581" s="53" t="s">
        <v>267</v>
      </c>
      <c r="BT581" s="53" t="s">
        <v>711</v>
      </c>
    </row>
    <row r="582" spans="67:72" x14ac:dyDescent="0.3">
      <c r="BO582" s="53" t="s">
        <v>125</v>
      </c>
      <c r="BP582" s="53" t="s">
        <v>996</v>
      </c>
      <c r="BQ582" s="54">
        <v>44671</v>
      </c>
      <c r="BR582" s="53" t="s">
        <v>701</v>
      </c>
      <c r="BS582" s="53" t="s">
        <v>132</v>
      </c>
      <c r="BT582" s="53" t="s">
        <v>995</v>
      </c>
    </row>
    <row r="583" spans="67:72" x14ac:dyDescent="0.3">
      <c r="BO583" s="53" t="s">
        <v>125</v>
      </c>
      <c r="BP583" s="53" t="s">
        <v>1151</v>
      </c>
      <c r="BQ583" s="54">
        <v>44726</v>
      </c>
      <c r="BR583" s="53" t="s">
        <v>701</v>
      </c>
      <c r="BS583" s="53" t="s">
        <v>132</v>
      </c>
      <c r="BT583" s="53" t="s">
        <v>1150</v>
      </c>
    </row>
    <row r="584" spans="67:72" x14ac:dyDescent="0.3">
      <c r="BO584" s="53" t="s">
        <v>125</v>
      </c>
      <c r="BP584" s="53" t="s">
        <v>1941</v>
      </c>
      <c r="BQ584" s="54">
        <v>44727</v>
      </c>
      <c r="BR584" s="53" t="s">
        <v>701</v>
      </c>
      <c r="BS584" s="53" t="s">
        <v>132</v>
      </c>
      <c r="BT584" s="53" t="s">
        <v>1152</v>
      </c>
    </row>
    <row r="585" spans="67:72" x14ac:dyDescent="0.3">
      <c r="BO585" s="53" t="s">
        <v>125</v>
      </c>
      <c r="BP585" s="53" t="s">
        <v>1155</v>
      </c>
      <c r="BQ585" s="54">
        <v>44768</v>
      </c>
      <c r="BR585" s="53" t="s">
        <v>701</v>
      </c>
      <c r="BS585" s="53" t="s">
        <v>132</v>
      </c>
      <c r="BT585" s="53" t="s">
        <v>1154</v>
      </c>
    </row>
    <row r="586" spans="67:72" x14ac:dyDescent="0.3">
      <c r="BO586" s="53" t="s">
        <v>125</v>
      </c>
      <c r="BP586" s="53" t="s">
        <v>1157</v>
      </c>
      <c r="BQ586" s="54">
        <v>44804</v>
      </c>
      <c r="BR586" s="53" t="s">
        <v>701</v>
      </c>
      <c r="BS586" s="53" t="s">
        <v>132</v>
      </c>
      <c r="BT586" s="53" t="s">
        <v>1156</v>
      </c>
    </row>
    <row r="587" spans="67:72" x14ac:dyDescent="0.3">
      <c r="BO587" s="53" t="s">
        <v>125</v>
      </c>
      <c r="BP587" s="53" t="s">
        <v>1159</v>
      </c>
      <c r="BQ587" s="54">
        <v>44832</v>
      </c>
      <c r="BR587" s="53" t="s">
        <v>701</v>
      </c>
      <c r="BS587" s="53" t="s">
        <v>132</v>
      </c>
      <c r="BT587" s="53" t="s">
        <v>1158</v>
      </c>
    </row>
    <row r="588" spans="67:72" x14ac:dyDescent="0.3">
      <c r="BO588" s="53" t="s">
        <v>125</v>
      </c>
      <c r="BP588" s="53" t="s">
        <v>1161</v>
      </c>
      <c r="BQ588" s="54">
        <v>44867</v>
      </c>
      <c r="BR588" s="53" t="s">
        <v>701</v>
      </c>
      <c r="BS588" s="53" t="s">
        <v>132</v>
      </c>
      <c r="BT588" s="53" t="s">
        <v>1160</v>
      </c>
    </row>
    <row r="589" spans="67:72" x14ac:dyDescent="0.3">
      <c r="BO589" s="53" t="s">
        <v>125</v>
      </c>
      <c r="BP589" s="53" t="s">
        <v>1163</v>
      </c>
      <c r="BQ589" s="54">
        <v>44890</v>
      </c>
      <c r="BR589" s="53" t="s">
        <v>701</v>
      </c>
      <c r="BS589" s="53" t="s">
        <v>132</v>
      </c>
      <c r="BT589" s="53" t="s">
        <v>1162</v>
      </c>
    </row>
    <row r="590" spans="67:72" x14ac:dyDescent="0.3">
      <c r="BO590" s="53" t="s">
        <v>125</v>
      </c>
      <c r="BP590" s="53" t="s">
        <v>1165</v>
      </c>
      <c r="BQ590" s="54">
        <v>44890</v>
      </c>
      <c r="BR590" s="53" t="s">
        <v>701</v>
      </c>
      <c r="BS590" s="53" t="s">
        <v>132</v>
      </c>
      <c r="BT590" s="53" t="s">
        <v>1164</v>
      </c>
    </row>
    <row r="591" spans="67:72" x14ac:dyDescent="0.3">
      <c r="BO591" s="53" t="s">
        <v>125</v>
      </c>
      <c r="BP591" s="53" t="s">
        <v>1167</v>
      </c>
      <c r="BQ591" s="54">
        <v>44890</v>
      </c>
      <c r="BR591" s="53" t="s">
        <v>701</v>
      </c>
      <c r="BS591" s="53" t="s">
        <v>132</v>
      </c>
      <c r="BT591" s="53" t="s">
        <v>1166</v>
      </c>
    </row>
    <row r="592" spans="67:72" x14ac:dyDescent="0.3">
      <c r="BO592" s="53" t="s">
        <v>125</v>
      </c>
      <c r="BP592" s="53" t="s">
        <v>1321</v>
      </c>
      <c r="BQ592" s="54">
        <v>44929</v>
      </c>
      <c r="BR592" s="53" t="s">
        <v>701</v>
      </c>
      <c r="BS592" s="53" t="s">
        <v>132</v>
      </c>
      <c r="BT592" s="53" t="s">
        <v>1320</v>
      </c>
    </row>
    <row r="593" spans="67:72" x14ac:dyDescent="0.3">
      <c r="BO593" s="53" t="s">
        <v>125</v>
      </c>
      <c r="BP593" s="53" t="s">
        <v>1323</v>
      </c>
      <c r="BQ593" s="54">
        <v>44929</v>
      </c>
      <c r="BR593" s="53" t="s">
        <v>701</v>
      </c>
      <c r="BS593" s="53" t="s">
        <v>132</v>
      </c>
      <c r="BT593" s="53" t="s">
        <v>1322</v>
      </c>
    </row>
    <row r="594" spans="67:72" x14ac:dyDescent="0.3">
      <c r="BO594" s="53" t="s">
        <v>125</v>
      </c>
      <c r="BP594" s="53" t="s">
        <v>1448</v>
      </c>
      <c r="BQ594" s="54">
        <v>45049</v>
      </c>
      <c r="BR594" s="53" t="s">
        <v>701</v>
      </c>
      <c r="BS594" s="53" t="s">
        <v>132</v>
      </c>
      <c r="BT594" s="53" t="s">
        <v>1447</v>
      </c>
    </row>
    <row r="595" spans="67:72" x14ac:dyDescent="0.3">
      <c r="BO595" s="53" t="s">
        <v>125</v>
      </c>
      <c r="BP595" s="53" t="s">
        <v>1596</v>
      </c>
      <c r="BQ595" s="54">
        <v>45131</v>
      </c>
      <c r="BR595" s="53" t="s">
        <v>701</v>
      </c>
      <c r="BS595" s="53" t="s">
        <v>132</v>
      </c>
      <c r="BT595" s="53" t="s">
        <v>1595</v>
      </c>
    </row>
    <row r="596" spans="67:72" x14ac:dyDescent="0.3">
      <c r="BO596" s="53" t="s">
        <v>125</v>
      </c>
      <c r="BP596" s="53" t="s">
        <v>1598</v>
      </c>
      <c r="BQ596" s="54">
        <v>45134</v>
      </c>
      <c r="BR596" s="53" t="s">
        <v>701</v>
      </c>
      <c r="BS596" s="53" t="s">
        <v>132</v>
      </c>
      <c r="BT596" s="53" t="s">
        <v>1597</v>
      </c>
    </row>
    <row r="597" spans="67:72" x14ac:dyDescent="0.3">
      <c r="BO597" s="53" t="s">
        <v>125</v>
      </c>
      <c r="BP597" s="53" t="s">
        <v>1700</v>
      </c>
      <c r="BQ597" s="54">
        <v>45153</v>
      </c>
      <c r="BR597" s="53" t="s">
        <v>701</v>
      </c>
      <c r="BS597" s="53" t="s">
        <v>132</v>
      </c>
      <c r="BT597" s="53" t="s">
        <v>1699</v>
      </c>
    </row>
    <row r="598" spans="67:72" x14ac:dyDescent="0.3">
      <c r="BO598" s="53" t="s">
        <v>125</v>
      </c>
      <c r="BP598" s="53" t="s">
        <v>1912</v>
      </c>
      <c r="BQ598" s="54">
        <v>45224</v>
      </c>
      <c r="BR598" s="53" t="s">
        <v>701</v>
      </c>
      <c r="BS598" s="53" t="s">
        <v>132</v>
      </c>
      <c r="BT598" s="53" t="s">
        <v>1911</v>
      </c>
    </row>
    <row r="599" spans="67:72" x14ac:dyDescent="0.3">
      <c r="BO599" s="53" t="s">
        <v>125</v>
      </c>
      <c r="BP599" s="53" t="s">
        <v>1936</v>
      </c>
      <c r="BQ599" s="54">
        <v>45231</v>
      </c>
      <c r="BR599" s="53" t="s">
        <v>701</v>
      </c>
      <c r="BS599" s="53" t="s">
        <v>132</v>
      </c>
      <c r="BT599" s="53" t="s">
        <v>1935</v>
      </c>
    </row>
    <row r="600" spans="67:72" x14ac:dyDescent="0.3">
      <c r="BO600" s="53" t="s">
        <v>125</v>
      </c>
      <c r="BP600" s="53" t="s">
        <v>2116</v>
      </c>
      <c r="BQ600" s="54">
        <v>45275</v>
      </c>
      <c r="BR600" s="53" t="s">
        <v>701</v>
      </c>
      <c r="BS600" s="53" t="s">
        <v>132</v>
      </c>
      <c r="BT600" s="53" t="s">
        <v>2085</v>
      </c>
    </row>
    <row r="601" spans="67:72" x14ac:dyDescent="0.3">
      <c r="BO601" s="53" t="s">
        <v>94</v>
      </c>
      <c r="BP601" s="53" t="s">
        <v>1254</v>
      </c>
      <c r="BQ601" s="54">
        <v>44768</v>
      </c>
      <c r="BR601" s="53" t="s">
        <v>701</v>
      </c>
      <c r="BS601" s="53" t="s">
        <v>948</v>
      </c>
      <c r="BT601" s="53" t="s">
        <v>1253</v>
      </c>
    </row>
    <row r="602" spans="67:72" x14ac:dyDescent="0.3">
      <c r="BO602" s="53" t="s">
        <v>125</v>
      </c>
      <c r="BP602" s="53" t="s">
        <v>1512</v>
      </c>
      <c r="BQ602" s="54">
        <v>45091</v>
      </c>
      <c r="BR602" s="53" t="s">
        <v>701</v>
      </c>
      <c r="BS602" s="53" t="s">
        <v>315</v>
      </c>
      <c r="BT602" s="53" t="s">
        <v>1511</v>
      </c>
    </row>
    <row r="603" spans="67:72" x14ac:dyDescent="0.3">
      <c r="BO603" s="53" t="s">
        <v>125</v>
      </c>
      <c r="BP603" s="53" t="s">
        <v>1847</v>
      </c>
      <c r="BQ603" s="54">
        <v>45216</v>
      </c>
      <c r="BR603" s="53" t="s">
        <v>701</v>
      </c>
      <c r="BS603" s="53" t="s">
        <v>315</v>
      </c>
      <c r="BT603" s="53" t="s">
        <v>1846</v>
      </c>
    </row>
    <row r="604" spans="67:72" x14ac:dyDescent="0.3">
      <c r="BO604" s="53" t="s">
        <v>125</v>
      </c>
      <c r="BP604" s="53" t="s">
        <v>1849</v>
      </c>
      <c r="BQ604" s="54">
        <v>45216</v>
      </c>
      <c r="BR604" s="53" t="s">
        <v>701</v>
      </c>
      <c r="BS604" s="53" t="s">
        <v>315</v>
      </c>
      <c r="BT604" s="53" t="s">
        <v>1848</v>
      </c>
    </row>
    <row r="605" spans="67:72" x14ac:dyDescent="0.3">
      <c r="BO605" s="53" t="s">
        <v>125</v>
      </c>
      <c r="BP605" s="53" t="s">
        <v>1851</v>
      </c>
      <c r="BQ605" s="54">
        <v>45216</v>
      </c>
      <c r="BR605" s="53" t="s">
        <v>701</v>
      </c>
      <c r="BS605" s="53" t="s">
        <v>315</v>
      </c>
      <c r="BT605" s="53" t="s">
        <v>1850</v>
      </c>
    </row>
    <row r="606" spans="67:72" x14ac:dyDescent="0.3">
      <c r="BO606" s="53" t="s">
        <v>94</v>
      </c>
      <c r="BP606" s="53" t="s">
        <v>713</v>
      </c>
      <c r="BQ606" s="54">
        <v>42639</v>
      </c>
      <c r="BR606" s="53" t="s">
        <v>701</v>
      </c>
      <c r="BS606" s="53" t="s">
        <v>128</v>
      </c>
      <c r="BT606" s="53" t="s">
        <v>714</v>
      </c>
    </row>
    <row r="607" spans="67:72" x14ac:dyDescent="0.3">
      <c r="BO607" s="53" t="s">
        <v>125</v>
      </c>
      <c r="BP607" s="53" t="s">
        <v>715</v>
      </c>
      <c r="BQ607" s="54">
        <v>42482</v>
      </c>
      <c r="BR607" s="53" t="s">
        <v>701</v>
      </c>
      <c r="BS607" s="53" t="s">
        <v>716</v>
      </c>
      <c r="BT607" s="53" t="s">
        <v>717</v>
      </c>
    </row>
    <row r="608" spans="67:72" x14ac:dyDescent="0.3">
      <c r="BO608" s="53" t="s">
        <v>125</v>
      </c>
      <c r="BP608" s="53" t="s">
        <v>1599</v>
      </c>
      <c r="BQ608" s="54">
        <v>44841</v>
      </c>
      <c r="BR608" s="53" t="s">
        <v>701</v>
      </c>
      <c r="BS608" s="53" t="s">
        <v>1113</v>
      </c>
      <c r="BT608" s="53" t="s">
        <v>1168</v>
      </c>
    </row>
    <row r="609" spans="67:72" x14ac:dyDescent="0.3">
      <c r="BO609" s="53" t="s">
        <v>125</v>
      </c>
      <c r="BP609" s="53" t="s">
        <v>1170</v>
      </c>
      <c r="BQ609" s="54">
        <v>44845</v>
      </c>
      <c r="BR609" s="53" t="s">
        <v>701</v>
      </c>
      <c r="BS609" s="53" t="s">
        <v>1113</v>
      </c>
      <c r="BT609" s="53" t="s">
        <v>1169</v>
      </c>
    </row>
    <row r="610" spans="67:72" x14ac:dyDescent="0.3">
      <c r="BO610" s="53" t="s">
        <v>125</v>
      </c>
      <c r="BP610" s="53" t="s">
        <v>1172</v>
      </c>
      <c r="BQ610" s="54">
        <v>44893</v>
      </c>
      <c r="BR610" s="53" t="s">
        <v>701</v>
      </c>
      <c r="BS610" s="53" t="s">
        <v>1113</v>
      </c>
      <c r="BT610" s="53" t="s">
        <v>1171</v>
      </c>
    </row>
    <row r="611" spans="67:72" x14ac:dyDescent="0.3">
      <c r="BO611" s="53" t="s">
        <v>125</v>
      </c>
      <c r="BP611" s="53" t="s">
        <v>1325</v>
      </c>
      <c r="BQ611" s="54">
        <v>44929</v>
      </c>
      <c r="BR611" s="53" t="s">
        <v>701</v>
      </c>
      <c r="BS611" s="53" t="s">
        <v>1113</v>
      </c>
      <c r="BT611" s="53" t="s">
        <v>1324</v>
      </c>
    </row>
    <row r="612" spans="67:72" x14ac:dyDescent="0.3">
      <c r="BO612" s="53" t="s">
        <v>125</v>
      </c>
      <c r="BP612" s="53" t="s">
        <v>1327</v>
      </c>
      <c r="BQ612" s="54">
        <v>44978</v>
      </c>
      <c r="BR612" s="53" t="s">
        <v>701</v>
      </c>
      <c r="BS612" s="53" t="s">
        <v>1113</v>
      </c>
      <c r="BT612" s="53" t="s">
        <v>1326</v>
      </c>
    </row>
    <row r="613" spans="67:72" x14ac:dyDescent="0.3">
      <c r="BO613" s="53" t="s">
        <v>125</v>
      </c>
      <c r="BP613" s="53" t="s">
        <v>1329</v>
      </c>
      <c r="BQ613" s="54">
        <v>45001</v>
      </c>
      <c r="BR613" s="53" t="s">
        <v>701</v>
      </c>
      <c r="BS613" s="53" t="s">
        <v>1113</v>
      </c>
      <c r="BT613" s="53" t="s">
        <v>1328</v>
      </c>
    </row>
    <row r="614" spans="67:72" x14ac:dyDescent="0.3">
      <c r="BO614" s="53" t="s">
        <v>125</v>
      </c>
      <c r="BP614" s="53" t="s">
        <v>1450</v>
      </c>
      <c r="BQ614" s="54">
        <v>45037</v>
      </c>
      <c r="BR614" s="53" t="s">
        <v>701</v>
      </c>
      <c r="BS614" s="53" t="s">
        <v>1113</v>
      </c>
      <c r="BT614" s="53" t="s">
        <v>1449</v>
      </c>
    </row>
    <row r="615" spans="67:72" x14ac:dyDescent="0.3">
      <c r="BO615" s="53" t="s">
        <v>125</v>
      </c>
      <c r="BP615" s="53" t="s">
        <v>1452</v>
      </c>
      <c r="BQ615" s="54">
        <v>45037</v>
      </c>
      <c r="BR615" s="53" t="s">
        <v>701</v>
      </c>
      <c r="BS615" s="53" t="s">
        <v>1113</v>
      </c>
      <c r="BT615" s="53" t="s">
        <v>1451</v>
      </c>
    </row>
    <row r="616" spans="67:72" x14ac:dyDescent="0.3">
      <c r="BO616" s="53" t="s">
        <v>125</v>
      </c>
      <c r="BP616" s="53" t="s">
        <v>1514</v>
      </c>
      <c r="BQ616" s="54">
        <v>45071</v>
      </c>
      <c r="BR616" s="53" t="s">
        <v>701</v>
      </c>
      <c r="BS616" s="53" t="s">
        <v>1113</v>
      </c>
      <c r="BT616" s="53" t="s">
        <v>1513</v>
      </c>
    </row>
    <row r="617" spans="67:72" x14ac:dyDescent="0.3">
      <c r="BO617" s="53" t="s">
        <v>125</v>
      </c>
      <c r="BP617" s="53" t="s">
        <v>1516</v>
      </c>
      <c r="BQ617" s="54">
        <v>45098</v>
      </c>
      <c r="BR617" s="53" t="s">
        <v>701</v>
      </c>
      <c r="BS617" s="53" t="s">
        <v>1113</v>
      </c>
      <c r="BT617" s="53" t="s">
        <v>1515</v>
      </c>
    </row>
    <row r="618" spans="67:72" x14ac:dyDescent="0.3">
      <c r="BO618" s="53" t="s">
        <v>125</v>
      </c>
      <c r="BP618" s="53" t="s">
        <v>1601</v>
      </c>
      <c r="BQ618" s="54">
        <v>45118</v>
      </c>
      <c r="BR618" s="53" t="s">
        <v>701</v>
      </c>
      <c r="BS618" s="53" t="s">
        <v>1113</v>
      </c>
      <c r="BT618" s="53" t="s">
        <v>1600</v>
      </c>
    </row>
    <row r="619" spans="67:72" x14ac:dyDescent="0.3">
      <c r="BO619" s="53" t="s">
        <v>125</v>
      </c>
      <c r="BP619" s="53" t="s">
        <v>1603</v>
      </c>
      <c r="BQ619" s="54">
        <v>45118</v>
      </c>
      <c r="BR619" s="53" t="s">
        <v>701</v>
      </c>
      <c r="BS619" s="53" t="s">
        <v>1113</v>
      </c>
      <c r="BT619" s="53" t="s">
        <v>1602</v>
      </c>
    </row>
    <row r="620" spans="67:72" x14ac:dyDescent="0.3">
      <c r="BO620" s="53" t="s">
        <v>125</v>
      </c>
      <c r="BP620" s="53" t="s">
        <v>1605</v>
      </c>
      <c r="BQ620" s="54">
        <v>45118</v>
      </c>
      <c r="BR620" s="53" t="s">
        <v>701</v>
      </c>
      <c r="BS620" s="53" t="s">
        <v>1113</v>
      </c>
      <c r="BT620" s="53" t="s">
        <v>1604</v>
      </c>
    </row>
    <row r="621" spans="67:72" x14ac:dyDescent="0.3">
      <c r="BO621" s="53" t="s">
        <v>125</v>
      </c>
      <c r="BP621" s="53" t="s">
        <v>1607</v>
      </c>
      <c r="BQ621" s="54">
        <v>45119</v>
      </c>
      <c r="BR621" s="53" t="s">
        <v>701</v>
      </c>
      <c r="BS621" s="53" t="s">
        <v>1113</v>
      </c>
      <c r="BT621" s="53" t="s">
        <v>1606</v>
      </c>
    </row>
    <row r="622" spans="67:72" x14ac:dyDescent="0.3">
      <c r="BO622" s="53" t="s">
        <v>125</v>
      </c>
      <c r="BP622" s="53" t="s">
        <v>1609</v>
      </c>
      <c r="BQ622" s="54">
        <v>45119</v>
      </c>
      <c r="BR622" s="53" t="s">
        <v>701</v>
      </c>
      <c r="BS622" s="53" t="s">
        <v>1113</v>
      </c>
      <c r="BT622" s="53" t="s">
        <v>1608</v>
      </c>
    </row>
    <row r="623" spans="67:72" x14ac:dyDescent="0.3">
      <c r="BO623" s="53" t="s">
        <v>125</v>
      </c>
      <c r="BP623" s="53" t="s">
        <v>1611</v>
      </c>
      <c r="BQ623" s="54">
        <v>45125</v>
      </c>
      <c r="BR623" s="53" t="s">
        <v>701</v>
      </c>
      <c r="BS623" s="53" t="s">
        <v>1113</v>
      </c>
      <c r="BT623" s="53" t="s">
        <v>1610</v>
      </c>
    </row>
    <row r="624" spans="67:72" x14ac:dyDescent="0.3">
      <c r="BO624" s="53" t="s">
        <v>125</v>
      </c>
      <c r="BP624" s="53" t="s">
        <v>1613</v>
      </c>
      <c r="BQ624" s="54">
        <v>45125</v>
      </c>
      <c r="BR624" s="53" t="s">
        <v>701</v>
      </c>
      <c r="BS624" s="53" t="s">
        <v>1113</v>
      </c>
      <c r="BT624" s="53" t="s">
        <v>1612</v>
      </c>
    </row>
    <row r="625" spans="67:72" x14ac:dyDescent="0.3">
      <c r="BO625" s="53" t="s">
        <v>125</v>
      </c>
      <c r="BP625" s="53" t="s">
        <v>1518</v>
      </c>
      <c r="BQ625" s="54">
        <v>45096</v>
      </c>
      <c r="BR625" s="53" t="s">
        <v>701</v>
      </c>
      <c r="BS625" s="53" t="s">
        <v>1113</v>
      </c>
      <c r="BT625" s="53" t="s">
        <v>1517</v>
      </c>
    </row>
    <row r="626" spans="67:72" x14ac:dyDescent="0.3">
      <c r="BO626" s="53" t="s">
        <v>125</v>
      </c>
      <c r="BP626" s="53" t="s">
        <v>1615</v>
      </c>
      <c r="BQ626" s="54">
        <v>45118</v>
      </c>
      <c r="BR626" s="53" t="s">
        <v>701</v>
      </c>
      <c r="BS626" s="53" t="s">
        <v>1113</v>
      </c>
      <c r="BT626" s="53" t="s">
        <v>1614</v>
      </c>
    </row>
    <row r="627" spans="67:72" x14ac:dyDescent="0.3">
      <c r="BO627" s="53" t="s">
        <v>125</v>
      </c>
      <c r="BP627" s="53" t="s">
        <v>1617</v>
      </c>
      <c r="BQ627" s="54">
        <v>45125</v>
      </c>
      <c r="BR627" s="53" t="s">
        <v>701</v>
      </c>
      <c r="BS627" s="53" t="s">
        <v>1113</v>
      </c>
      <c r="BT627" s="53" t="s">
        <v>1616</v>
      </c>
    </row>
    <row r="628" spans="67:72" x14ac:dyDescent="0.3">
      <c r="BO628" s="53" t="s">
        <v>125</v>
      </c>
      <c r="BP628" s="53" t="s">
        <v>1619</v>
      </c>
      <c r="BQ628" s="54">
        <v>45125</v>
      </c>
      <c r="BR628" s="53" t="s">
        <v>701</v>
      </c>
      <c r="BS628" s="53" t="s">
        <v>1113</v>
      </c>
      <c r="BT628" s="53" t="s">
        <v>1618</v>
      </c>
    </row>
    <row r="629" spans="67:72" x14ac:dyDescent="0.3">
      <c r="BO629" s="53" t="s">
        <v>125</v>
      </c>
      <c r="BP629" s="53" t="s">
        <v>1621</v>
      </c>
      <c r="BQ629" s="54">
        <v>45131</v>
      </c>
      <c r="BR629" s="53" t="s">
        <v>701</v>
      </c>
      <c r="BS629" s="53" t="s">
        <v>1113</v>
      </c>
      <c r="BT629" s="53" t="s">
        <v>1620</v>
      </c>
    </row>
    <row r="630" spans="67:72" x14ac:dyDescent="0.3">
      <c r="BO630" s="53" t="s">
        <v>125</v>
      </c>
      <c r="BP630" s="53" t="s">
        <v>1623</v>
      </c>
      <c r="BQ630" s="54">
        <v>45131</v>
      </c>
      <c r="BR630" s="53" t="s">
        <v>701</v>
      </c>
      <c r="BS630" s="53" t="s">
        <v>1113</v>
      </c>
      <c r="BT630" s="53" t="s">
        <v>1622</v>
      </c>
    </row>
    <row r="631" spans="67:72" x14ac:dyDescent="0.3">
      <c r="BO631" s="53" t="s">
        <v>125</v>
      </c>
      <c r="BP631" s="53" t="s">
        <v>1625</v>
      </c>
      <c r="BQ631" s="54">
        <v>45131</v>
      </c>
      <c r="BR631" s="53" t="s">
        <v>701</v>
      </c>
      <c r="BS631" s="53" t="s">
        <v>1113</v>
      </c>
      <c r="BT631" s="53" t="s">
        <v>1624</v>
      </c>
    </row>
    <row r="632" spans="67:72" x14ac:dyDescent="0.3">
      <c r="BO632" s="53" t="s">
        <v>125</v>
      </c>
      <c r="BP632" s="53" t="s">
        <v>1627</v>
      </c>
      <c r="BQ632" s="54">
        <v>45132</v>
      </c>
      <c r="BR632" s="53" t="s">
        <v>701</v>
      </c>
      <c r="BS632" s="53" t="s">
        <v>1113</v>
      </c>
      <c r="BT632" s="53" t="s">
        <v>1626</v>
      </c>
    </row>
    <row r="633" spans="67:72" x14ac:dyDescent="0.3">
      <c r="BO633" s="53" t="s">
        <v>125</v>
      </c>
      <c r="BP633" s="53" t="s">
        <v>1629</v>
      </c>
      <c r="BQ633" s="54">
        <v>45132</v>
      </c>
      <c r="BR633" s="53" t="s">
        <v>701</v>
      </c>
      <c r="BS633" s="53" t="s">
        <v>1113</v>
      </c>
      <c r="BT633" s="53" t="s">
        <v>1628</v>
      </c>
    </row>
    <row r="634" spans="67:72" x14ac:dyDescent="0.3">
      <c r="BO634" s="53" t="s">
        <v>125</v>
      </c>
      <c r="BP634" s="53" t="s">
        <v>1631</v>
      </c>
      <c r="BQ634" s="54">
        <v>45134</v>
      </c>
      <c r="BR634" s="53" t="s">
        <v>701</v>
      </c>
      <c r="BS634" s="53" t="s">
        <v>1113</v>
      </c>
      <c r="BT634" s="53" t="s">
        <v>1630</v>
      </c>
    </row>
    <row r="635" spans="67:72" x14ac:dyDescent="0.3">
      <c r="BO635" s="53" t="s">
        <v>125</v>
      </c>
      <c r="BP635" s="53" t="s">
        <v>1702</v>
      </c>
      <c r="BQ635" s="54">
        <v>45154</v>
      </c>
      <c r="BR635" s="53" t="s">
        <v>701</v>
      </c>
      <c r="BS635" s="53" t="s">
        <v>1113</v>
      </c>
      <c r="BT635" s="53" t="s">
        <v>1701</v>
      </c>
    </row>
    <row r="636" spans="67:72" x14ac:dyDescent="0.3">
      <c r="BO636" s="53" t="s">
        <v>125</v>
      </c>
      <c r="BP636" s="53" t="s">
        <v>1704</v>
      </c>
      <c r="BQ636" s="54">
        <v>45154</v>
      </c>
      <c r="BR636" s="53" t="s">
        <v>701</v>
      </c>
      <c r="BS636" s="53" t="s">
        <v>1113</v>
      </c>
      <c r="BT636" s="53" t="s">
        <v>1703</v>
      </c>
    </row>
    <row r="637" spans="67:72" x14ac:dyDescent="0.3">
      <c r="BO637" s="53" t="s">
        <v>125</v>
      </c>
      <c r="BP637" s="53" t="s">
        <v>1706</v>
      </c>
      <c r="BQ637" s="54">
        <v>45154</v>
      </c>
      <c r="BR637" s="53" t="s">
        <v>701</v>
      </c>
      <c r="BS637" s="53" t="s">
        <v>1113</v>
      </c>
      <c r="BT637" s="53" t="s">
        <v>1705</v>
      </c>
    </row>
    <row r="638" spans="67:72" x14ac:dyDescent="0.3">
      <c r="BO638" s="53" t="s">
        <v>125</v>
      </c>
      <c r="BP638" s="53" t="s">
        <v>1783</v>
      </c>
      <c r="BQ638" s="54">
        <v>45187</v>
      </c>
      <c r="BR638" s="53" t="s">
        <v>701</v>
      </c>
      <c r="BS638" s="53" t="s">
        <v>1113</v>
      </c>
      <c r="BT638" s="53" t="s">
        <v>1782</v>
      </c>
    </row>
    <row r="639" spans="67:72" x14ac:dyDescent="0.3">
      <c r="BO639" s="53" t="s">
        <v>125</v>
      </c>
      <c r="BP639" s="53" t="s">
        <v>1853</v>
      </c>
      <c r="BQ639" s="54">
        <v>45202</v>
      </c>
      <c r="BR639" s="53" t="s">
        <v>701</v>
      </c>
      <c r="BS639" s="53" t="s">
        <v>1113</v>
      </c>
      <c r="BT639" s="53" t="s">
        <v>1852</v>
      </c>
    </row>
    <row r="640" spans="67:72" x14ac:dyDescent="0.3">
      <c r="BO640" s="53" t="s">
        <v>125</v>
      </c>
      <c r="BP640" s="53" t="s">
        <v>1855</v>
      </c>
      <c r="BQ640" s="54">
        <v>45203</v>
      </c>
      <c r="BR640" s="53" t="s">
        <v>701</v>
      </c>
      <c r="BS640" s="53" t="s">
        <v>1113</v>
      </c>
      <c r="BT640" s="53" t="s">
        <v>1854</v>
      </c>
    </row>
    <row r="641" spans="67:72" x14ac:dyDescent="0.3">
      <c r="BO641" s="53" t="s">
        <v>125</v>
      </c>
      <c r="BP641" s="53" t="s">
        <v>1857</v>
      </c>
      <c r="BQ641" s="54">
        <v>45211</v>
      </c>
      <c r="BR641" s="53" t="s">
        <v>701</v>
      </c>
      <c r="BS641" s="53" t="s">
        <v>1113</v>
      </c>
      <c r="BT641" s="53" t="s">
        <v>1856</v>
      </c>
    </row>
    <row r="642" spans="67:72" x14ac:dyDescent="0.3">
      <c r="BO642" s="53" t="s">
        <v>125</v>
      </c>
      <c r="BP642" s="53" t="s">
        <v>1859</v>
      </c>
      <c r="BQ642" s="54">
        <v>45211</v>
      </c>
      <c r="BR642" s="53" t="s">
        <v>701</v>
      </c>
      <c r="BS642" s="53" t="s">
        <v>1113</v>
      </c>
      <c r="BT642" s="53" t="s">
        <v>1858</v>
      </c>
    </row>
    <row r="643" spans="67:72" x14ac:dyDescent="0.3">
      <c r="BO643" s="53" t="s">
        <v>125</v>
      </c>
      <c r="BP643" s="53" t="s">
        <v>1861</v>
      </c>
      <c r="BQ643" s="54">
        <v>45211</v>
      </c>
      <c r="BR643" s="53" t="s">
        <v>701</v>
      </c>
      <c r="BS643" s="53" t="s">
        <v>1113</v>
      </c>
      <c r="BT643" s="53" t="s">
        <v>1860</v>
      </c>
    </row>
    <row r="644" spans="67:72" x14ac:dyDescent="0.3">
      <c r="BO644" s="53" t="s">
        <v>125</v>
      </c>
      <c r="BP644" s="53" t="s">
        <v>1863</v>
      </c>
      <c r="BQ644" s="54">
        <v>45211</v>
      </c>
      <c r="BR644" s="53" t="s">
        <v>701</v>
      </c>
      <c r="BS644" s="53" t="s">
        <v>1113</v>
      </c>
      <c r="BT644" s="53" t="s">
        <v>1862</v>
      </c>
    </row>
    <row r="645" spans="67:72" x14ac:dyDescent="0.3">
      <c r="BO645" s="53" t="s">
        <v>125</v>
      </c>
      <c r="BP645" s="53" t="s">
        <v>1993</v>
      </c>
      <c r="BQ645" s="54">
        <v>45250</v>
      </c>
      <c r="BR645" s="53" t="s">
        <v>701</v>
      </c>
      <c r="BS645" s="53" t="s">
        <v>1113</v>
      </c>
      <c r="BT645" s="53" t="s">
        <v>1992</v>
      </c>
    </row>
    <row r="646" spans="67:72" x14ac:dyDescent="0.3">
      <c r="BO646" s="53" t="s">
        <v>125</v>
      </c>
      <c r="BP646" s="53" t="s">
        <v>1995</v>
      </c>
      <c r="BQ646" s="54">
        <v>45250</v>
      </c>
      <c r="BR646" s="53" t="s">
        <v>701</v>
      </c>
      <c r="BS646" s="53" t="s">
        <v>1113</v>
      </c>
      <c r="BT646" s="53" t="s">
        <v>1994</v>
      </c>
    </row>
    <row r="647" spans="67:72" x14ac:dyDescent="0.3">
      <c r="BO647" s="53" t="s">
        <v>125</v>
      </c>
      <c r="BP647" s="53" t="s">
        <v>1997</v>
      </c>
      <c r="BQ647" s="54">
        <v>45251</v>
      </c>
      <c r="BR647" s="53" t="s">
        <v>701</v>
      </c>
      <c r="BS647" s="53" t="s">
        <v>1113</v>
      </c>
      <c r="BT647" s="53" t="s">
        <v>1996</v>
      </c>
    </row>
    <row r="648" spans="67:72" x14ac:dyDescent="0.3">
      <c r="BO648" s="53" t="s">
        <v>125</v>
      </c>
      <c r="BP648" s="53" t="s">
        <v>1999</v>
      </c>
      <c r="BQ648" s="54">
        <v>45251</v>
      </c>
      <c r="BR648" s="53" t="s">
        <v>701</v>
      </c>
      <c r="BS648" s="53" t="s">
        <v>1113</v>
      </c>
      <c r="BT648" s="53" t="s">
        <v>1998</v>
      </c>
    </row>
    <row r="649" spans="67:72" x14ac:dyDescent="0.3">
      <c r="BO649" s="53" t="s">
        <v>125</v>
      </c>
      <c r="BP649" s="53" t="s">
        <v>2001</v>
      </c>
      <c r="BQ649" s="54">
        <v>45251</v>
      </c>
      <c r="BR649" s="53" t="s">
        <v>701</v>
      </c>
      <c r="BS649" s="53" t="s">
        <v>1113</v>
      </c>
      <c r="BT649" s="53" t="s">
        <v>2000</v>
      </c>
    </row>
    <row r="650" spans="67:72" x14ac:dyDescent="0.3">
      <c r="BO650" s="53" t="s">
        <v>125</v>
      </c>
      <c r="BP650" s="53" t="s">
        <v>2003</v>
      </c>
      <c r="BQ650" s="54">
        <v>45251</v>
      </c>
      <c r="BR650" s="53" t="s">
        <v>701</v>
      </c>
      <c r="BS650" s="53" t="s">
        <v>1113</v>
      </c>
      <c r="BT650" s="53" t="s">
        <v>2002</v>
      </c>
    </row>
    <row r="651" spans="67:72" x14ac:dyDescent="0.3">
      <c r="BO651" s="53" t="s">
        <v>125</v>
      </c>
      <c r="BP651" s="53" t="s">
        <v>2005</v>
      </c>
      <c r="BQ651" s="54">
        <v>45251</v>
      </c>
      <c r="BR651" s="53" t="s">
        <v>701</v>
      </c>
      <c r="BS651" s="53" t="s">
        <v>1113</v>
      </c>
      <c r="BT651" s="53" t="s">
        <v>2004</v>
      </c>
    </row>
    <row r="652" spans="67:72" x14ac:dyDescent="0.3">
      <c r="BO652" s="53" t="s">
        <v>125</v>
      </c>
      <c r="BP652" s="53" t="s">
        <v>2007</v>
      </c>
      <c r="BQ652" s="54">
        <v>45251</v>
      </c>
      <c r="BR652" s="53" t="s">
        <v>701</v>
      </c>
      <c r="BS652" s="53" t="s">
        <v>1113</v>
      </c>
      <c r="BT652" s="53" t="s">
        <v>2006</v>
      </c>
    </row>
    <row r="653" spans="67:72" x14ac:dyDescent="0.3">
      <c r="BO653" s="53" t="s">
        <v>125</v>
      </c>
      <c r="BP653" s="53" t="s">
        <v>2042</v>
      </c>
      <c r="BQ653" s="54">
        <v>45258</v>
      </c>
      <c r="BR653" s="53" t="s">
        <v>701</v>
      </c>
      <c r="BS653" s="53" t="s">
        <v>1113</v>
      </c>
      <c r="BT653" s="53" t="s">
        <v>2041</v>
      </c>
    </row>
    <row r="654" spans="67:72" x14ac:dyDescent="0.3">
      <c r="BO654" s="53" t="s">
        <v>125</v>
      </c>
      <c r="BP654" s="53" t="s">
        <v>718</v>
      </c>
      <c r="BQ654" s="54">
        <v>42166</v>
      </c>
      <c r="BR654" s="53" t="s">
        <v>701</v>
      </c>
      <c r="BS654" s="53" t="s">
        <v>719</v>
      </c>
      <c r="BT654" s="53" t="s">
        <v>720</v>
      </c>
    </row>
    <row r="655" spans="67:72" x14ac:dyDescent="0.3">
      <c r="BO655" s="53" t="s">
        <v>125</v>
      </c>
      <c r="BP655" s="53" t="s">
        <v>721</v>
      </c>
      <c r="BQ655" s="54">
        <v>42453</v>
      </c>
      <c r="BR655" s="53" t="s">
        <v>701</v>
      </c>
      <c r="BS655" s="53" t="s">
        <v>719</v>
      </c>
      <c r="BT655" s="53" t="s">
        <v>722</v>
      </c>
    </row>
    <row r="656" spans="67:72" x14ac:dyDescent="0.3">
      <c r="BO656" s="53" t="s">
        <v>125</v>
      </c>
      <c r="BP656" s="53" t="s">
        <v>723</v>
      </c>
      <c r="BQ656" s="54">
        <v>42600</v>
      </c>
      <c r="BR656" s="53" t="s">
        <v>701</v>
      </c>
      <c r="BS656" s="53" t="s">
        <v>719</v>
      </c>
      <c r="BT656" s="53" t="s">
        <v>724</v>
      </c>
    </row>
    <row r="657" spans="67:72" x14ac:dyDescent="0.3">
      <c r="BO657" s="53" t="s">
        <v>125</v>
      </c>
      <c r="BP657" s="53" t="s">
        <v>725</v>
      </c>
      <c r="BQ657" s="54">
        <v>43418</v>
      </c>
      <c r="BR657" s="53" t="s">
        <v>701</v>
      </c>
      <c r="BS657" s="53" t="s">
        <v>719</v>
      </c>
      <c r="BT657" s="53" t="s">
        <v>726</v>
      </c>
    </row>
    <row r="658" spans="67:72" x14ac:dyDescent="0.3">
      <c r="BO658" s="53" t="s">
        <v>125</v>
      </c>
      <c r="BP658" s="53" t="s">
        <v>727</v>
      </c>
      <c r="BQ658" s="54">
        <v>44369</v>
      </c>
      <c r="BR658" s="53" t="s">
        <v>701</v>
      </c>
      <c r="BS658" s="53" t="s">
        <v>719</v>
      </c>
      <c r="BT658" s="53" t="s">
        <v>728</v>
      </c>
    </row>
    <row r="659" spans="67:72" x14ac:dyDescent="0.3">
      <c r="BO659" s="53" t="s">
        <v>125</v>
      </c>
      <c r="BP659" s="53" t="s">
        <v>820</v>
      </c>
      <c r="BQ659" s="54">
        <v>44383</v>
      </c>
      <c r="BR659" s="53" t="s">
        <v>701</v>
      </c>
      <c r="BS659" s="53" t="s">
        <v>719</v>
      </c>
      <c r="BT659" s="53" t="s">
        <v>819</v>
      </c>
    </row>
    <row r="660" spans="67:72" x14ac:dyDescent="0.3">
      <c r="BO660" s="53" t="s">
        <v>125</v>
      </c>
      <c r="BP660" s="53" t="s">
        <v>1174</v>
      </c>
      <c r="BQ660" s="54">
        <v>44776</v>
      </c>
      <c r="BR660" s="53" t="s">
        <v>701</v>
      </c>
      <c r="BS660" s="53" t="s">
        <v>719</v>
      </c>
      <c r="BT660" s="53" t="s">
        <v>1173</v>
      </c>
    </row>
    <row r="661" spans="67:72" x14ac:dyDescent="0.3">
      <c r="BO661" s="53" t="s">
        <v>125</v>
      </c>
      <c r="BP661" s="53" t="s">
        <v>1176</v>
      </c>
      <c r="BQ661" s="54">
        <v>44777</v>
      </c>
      <c r="BR661" s="53" t="s">
        <v>701</v>
      </c>
      <c r="BS661" s="53" t="s">
        <v>719</v>
      </c>
      <c r="BT661" s="53" t="s">
        <v>1175</v>
      </c>
    </row>
    <row r="662" spans="67:72" x14ac:dyDescent="0.3">
      <c r="BO662" s="53" t="s">
        <v>125</v>
      </c>
      <c r="BP662" s="53" t="s">
        <v>1178</v>
      </c>
      <c r="BQ662" s="54">
        <v>44777</v>
      </c>
      <c r="BR662" s="53" t="s">
        <v>701</v>
      </c>
      <c r="BS662" s="53" t="s">
        <v>719</v>
      </c>
      <c r="BT662" s="53" t="s">
        <v>1177</v>
      </c>
    </row>
    <row r="663" spans="67:72" x14ac:dyDescent="0.3">
      <c r="BO663" s="53" t="s">
        <v>125</v>
      </c>
      <c r="BP663" s="53" t="s">
        <v>1180</v>
      </c>
      <c r="BQ663" s="54">
        <v>44778</v>
      </c>
      <c r="BR663" s="53" t="s">
        <v>701</v>
      </c>
      <c r="BS663" s="53" t="s">
        <v>719</v>
      </c>
      <c r="BT663" s="53" t="s">
        <v>1179</v>
      </c>
    </row>
    <row r="664" spans="67:72" x14ac:dyDescent="0.3">
      <c r="BO664" s="53" t="s">
        <v>125</v>
      </c>
      <c r="BP664" s="53" t="s">
        <v>1182</v>
      </c>
      <c r="BQ664" s="54">
        <v>44778</v>
      </c>
      <c r="BR664" s="53" t="s">
        <v>701</v>
      </c>
      <c r="BS664" s="53" t="s">
        <v>719</v>
      </c>
      <c r="BT664" s="53" t="s">
        <v>1181</v>
      </c>
    </row>
    <row r="665" spans="67:72" x14ac:dyDescent="0.3">
      <c r="BO665" s="53" t="s">
        <v>125</v>
      </c>
      <c r="BP665" s="53" t="s">
        <v>1331</v>
      </c>
      <c r="BQ665" s="54">
        <v>44942</v>
      </c>
      <c r="BR665" s="53" t="s">
        <v>701</v>
      </c>
      <c r="BS665" s="53" t="s">
        <v>315</v>
      </c>
      <c r="BT665" s="53" t="s">
        <v>1330</v>
      </c>
    </row>
    <row r="666" spans="67:72" x14ac:dyDescent="0.3">
      <c r="BO666" s="53" t="s">
        <v>125</v>
      </c>
      <c r="BP666" s="53" t="s">
        <v>1333</v>
      </c>
      <c r="BQ666" s="54">
        <v>44944</v>
      </c>
      <c r="BR666" s="53" t="s">
        <v>701</v>
      </c>
      <c r="BS666" s="53" t="s">
        <v>315</v>
      </c>
      <c r="BT666" s="53" t="s">
        <v>1332</v>
      </c>
    </row>
    <row r="667" spans="67:72" x14ac:dyDescent="0.3">
      <c r="BO667" s="53" t="s">
        <v>125</v>
      </c>
      <c r="BP667" s="53" t="s">
        <v>1335</v>
      </c>
      <c r="BQ667" s="54">
        <v>44944</v>
      </c>
      <c r="BR667" s="53" t="s">
        <v>701</v>
      </c>
      <c r="BS667" s="53" t="s">
        <v>315</v>
      </c>
      <c r="BT667" s="53" t="s">
        <v>1334</v>
      </c>
    </row>
    <row r="668" spans="67:72" x14ac:dyDescent="0.3">
      <c r="BO668" s="53" t="s">
        <v>125</v>
      </c>
      <c r="BP668" s="53" t="s">
        <v>1466</v>
      </c>
      <c r="BQ668" s="54">
        <v>45057</v>
      </c>
      <c r="BR668" s="53" t="s">
        <v>701</v>
      </c>
      <c r="BS668" s="53" t="s">
        <v>315</v>
      </c>
      <c r="BT668" s="53" t="s">
        <v>1465</v>
      </c>
    </row>
    <row r="669" spans="67:72" x14ac:dyDescent="0.3">
      <c r="BO669" s="53" t="s">
        <v>125</v>
      </c>
      <c r="BP669" s="53" t="s">
        <v>1468</v>
      </c>
      <c r="BQ669" s="54">
        <v>45057</v>
      </c>
      <c r="BR669" s="53" t="s">
        <v>701</v>
      </c>
      <c r="BS669" s="53" t="s">
        <v>315</v>
      </c>
      <c r="BT669" s="53" t="s">
        <v>1467</v>
      </c>
    </row>
    <row r="670" spans="67:72" x14ac:dyDescent="0.3">
      <c r="BO670" s="53" t="s">
        <v>125</v>
      </c>
      <c r="BP670" s="53" t="s">
        <v>1633</v>
      </c>
      <c r="BQ670" s="54">
        <v>45118</v>
      </c>
      <c r="BR670" s="53" t="s">
        <v>701</v>
      </c>
      <c r="BS670" s="53" t="s">
        <v>315</v>
      </c>
      <c r="BT670" s="53" t="s">
        <v>1632</v>
      </c>
    </row>
    <row r="671" spans="67:72" x14ac:dyDescent="0.3">
      <c r="BO671" s="53" t="s">
        <v>125</v>
      </c>
      <c r="BP671" s="53" t="s">
        <v>1635</v>
      </c>
      <c r="BQ671" s="54">
        <v>45118</v>
      </c>
      <c r="BR671" s="53" t="s">
        <v>701</v>
      </c>
      <c r="BS671" s="53" t="s">
        <v>315</v>
      </c>
      <c r="BT671" s="53" t="s">
        <v>1634</v>
      </c>
    </row>
    <row r="672" spans="67:72" x14ac:dyDescent="0.3">
      <c r="BO672" s="53" t="s">
        <v>125</v>
      </c>
      <c r="BP672" s="53" t="s">
        <v>1637</v>
      </c>
      <c r="BQ672" s="54">
        <v>45118</v>
      </c>
      <c r="BR672" s="53" t="s">
        <v>701</v>
      </c>
      <c r="BS672" s="53" t="s">
        <v>315</v>
      </c>
      <c r="BT672" s="53" t="s">
        <v>1636</v>
      </c>
    </row>
    <row r="673" spans="67:72" x14ac:dyDescent="0.3">
      <c r="BO673" s="53" t="s">
        <v>125</v>
      </c>
      <c r="BP673" s="53" t="s">
        <v>1639</v>
      </c>
      <c r="BQ673" s="54">
        <v>45118</v>
      </c>
      <c r="BR673" s="53" t="s">
        <v>701</v>
      </c>
      <c r="BS673" s="53" t="s">
        <v>315</v>
      </c>
      <c r="BT673" s="53" t="s">
        <v>1638</v>
      </c>
    </row>
    <row r="674" spans="67:72" x14ac:dyDescent="0.3">
      <c r="BO674" s="53" t="s">
        <v>125</v>
      </c>
      <c r="BP674" s="53" t="s">
        <v>1641</v>
      </c>
      <c r="BQ674" s="54">
        <v>45119</v>
      </c>
      <c r="BR674" s="53" t="s">
        <v>701</v>
      </c>
      <c r="BS674" s="53" t="s">
        <v>315</v>
      </c>
      <c r="BT674" s="53" t="s">
        <v>1640</v>
      </c>
    </row>
    <row r="675" spans="67:72" x14ac:dyDescent="0.3">
      <c r="BO675" s="53" t="s">
        <v>125</v>
      </c>
      <c r="BP675" s="53" t="s">
        <v>1643</v>
      </c>
      <c r="BQ675" s="54">
        <v>45119</v>
      </c>
      <c r="BR675" s="53" t="s">
        <v>701</v>
      </c>
      <c r="BS675" s="53" t="s">
        <v>315</v>
      </c>
      <c r="BT675" s="53" t="s">
        <v>1642</v>
      </c>
    </row>
    <row r="676" spans="67:72" x14ac:dyDescent="0.3">
      <c r="BO676" s="53" t="s">
        <v>125</v>
      </c>
      <c r="BP676" s="53" t="s">
        <v>1645</v>
      </c>
      <c r="BQ676" s="54">
        <v>45120</v>
      </c>
      <c r="BR676" s="53" t="s">
        <v>701</v>
      </c>
      <c r="BS676" s="53" t="s">
        <v>315</v>
      </c>
      <c r="BT676" s="53" t="s">
        <v>1644</v>
      </c>
    </row>
    <row r="677" spans="67:72" x14ac:dyDescent="0.3">
      <c r="BO677" s="53" t="s">
        <v>125</v>
      </c>
      <c r="BP677" s="53" t="s">
        <v>1647</v>
      </c>
      <c r="BQ677" s="54">
        <v>45146</v>
      </c>
      <c r="BR677" s="53" t="s">
        <v>701</v>
      </c>
      <c r="BS677" s="53" t="s">
        <v>315</v>
      </c>
      <c r="BT677" s="53" t="s">
        <v>1646</v>
      </c>
    </row>
    <row r="678" spans="67:72" x14ac:dyDescent="0.3">
      <c r="BO678" s="53" t="s">
        <v>125</v>
      </c>
      <c r="BP678" s="53" t="s">
        <v>1819</v>
      </c>
      <c r="BQ678" s="54">
        <v>45201</v>
      </c>
      <c r="BR678" s="53" t="s">
        <v>701</v>
      </c>
      <c r="BS678" s="53" t="s">
        <v>315</v>
      </c>
      <c r="BT678" s="53" t="s">
        <v>1818</v>
      </c>
    </row>
    <row r="679" spans="67:72" x14ac:dyDescent="0.3">
      <c r="BO679" s="53" t="s">
        <v>125</v>
      </c>
      <c r="BP679" s="53" t="s">
        <v>1821</v>
      </c>
      <c r="BQ679" s="54">
        <v>45201</v>
      </c>
      <c r="BR679" s="53" t="s">
        <v>701</v>
      </c>
      <c r="BS679" s="53" t="s">
        <v>315</v>
      </c>
      <c r="BT679" s="53" t="s">
        <v>1820</v>
      </c>
    </row>
    <row r="680" spans="67:72" x14ac:dyDescent="0.3">
      <c r="BO680" s="53" t="s">
        <v>125</v>
      </c>
      <c r="BP680" s="53" t="s">
        <v>1823</v>
      </c>
      <c r="BQ680" s="54">
        <v>45201</v>
      </c>
      <c r="BR680" s="53" t="s">
        <v>701</v>
      </c>
      <c r="BS680" s="53" t="s">
        <v>315</v>
      </c>
      <c r="BT680" s="53" t="s">
        <v>1822</v>
      </c>
    </row>
    <row r="681" spans="67:72" x14ac:dyDescent="0.3">
      <c r="BO681" s="53" t="s">
        <v>125</v>
      </c>
      <c r="BP681" s="53" t="s">
        <v>2009</v>
      </c>
      <c r="BQ681" s="54">
        <v>45251</v>
      </c>
      <c r="BR681" s="53" t="s">
        <v>701</v>
      </c>
      <c r="BS681" s="53" t="s">
        <v>315</v>
      </c>
      <c r="BT681" s="53" t="s">
        <v>2008</v>
      </c>
    </row>
    <row r="682" spans="67:72" x14ac:dyDescent="0.3">
      <c r="BO682" s="53" t="s">
        <v>125</v>
      </c>
      <c r="BP682" s="53" t="s">
        <v>2011</v>
      </c>
      <c r="BQ682" s="54">
        <v>45251</v>
      </c>
      <c r="BR682" s="53" t="s">
        <v>701</v>
      </c>
      <c r="BS682" s="53" t="s">
        <v>315</v>
      </c>
      <c r="BT682" s="53" t="s">
        <v>2010</v>
      </c>
    </row>
    <row r="683" spans="67:72" x14ac:dyDescent="0.3">
      <c r="BO683" s="53" t="s">
        <v>125</v>
      </c>
      <c r="BP683" s="53" t="s">
        <v>2013</v>
      </c>
      <c r="BQ683" s="54">
        <v>45251</v>
      </c>
      <c r="BR683" s="53" t="s">
        <v>701</v>
      </c>
      <c r="BS683" s="53" t="s">
        <v>315</v>
      </c>
      <c r="BT683" s="53" t="s">
        <v>2012</v>
      </c>
    </row>
    <row r="684" spans="67:72" x14ac:dyDescent="0.3">
      <c r="BO684" s="53" t="s">
        <v>125</v>
      </c>
      <c r="BP684" s="53" t="s">
        <v>2015</v>
      </c>
      <c r="BQ684" s="54">
        <v>45251</v>
      </c>
      <c r="BR684" s="53" t="s">
        <v>701</v>
      </c>
      <c r="BS684" s="53" t="s">
        <v>315</v>
      </c>
      <c r="BT684" s="53" t="s">
        <v>2014</v>
      </c>
    </row>
    <row r="685" spans="67:72" x14ac:dyDescent="0.3">
      <c r="BO685" s="53" t="s">
        <v>125</v>
      </c>
      <c r="BP685" s="53" t="s">
        <v>2017</v>
      </c>
      <c r="BQ685" s="54">
        <v>45251</v>
      </c>
      <c r="BR685" s="53" t="s">
        <v>701</v>
      </c>
      <c r="BS685" s="53" t="s">
        <v>315</v>
      </c>
      <c r="BT685" s="53" t="s">
        <v>2016</v>
      </c>
    </row>
    <row r="686" spans="67:72" x14ac:dyDescent="0.3">
      <c r="BO686" s="53" t="s">
        <v>125</v>
      </c>
      <c r="BP686" s="53" t="s">
        <v>2019</v>
      </c>
      <c r="BQ686" s="54">
        <v>45251</v>
      </c>
      <c r="BR686" s="53" t="s">
        <v>701</v>
      </c>
      <c r="BS686" s="53" t="s">
        <v>315</v>
      </c>
      <c r="BT686" s="53" t="s">
        <v>2018</v>
      </c>
    </row>
    <row r="687" spans="67:72" x14ac:dyDescent="0.3">
      <c r="BO687" s="53" t="s">
        <v>125</v>
      </c>
      <c r="BP687" s="53" t="s">
        <v>2021</v>
      </c>
      <c r="BQ687" s="54">
        <v>45251</v>
      </c>
      <c r="BR687" s="53" t="s">
        <v>701</v>
      </c>
      <c r="BS687" s="53" t="s">
        <v>315</v>
      </c>
      <c r="BT687" s="53" t="s">
        <v>2020</v>
      </c>
    </row>
    <row r="688" spans="67:72" x14ac:dyDescent="0.3">
      <c r="BO688" s="53" t="s">
        <v>125</v>
      </c>
      <c r="BP688" s="53" t="s">
        <v>2023</v>
      </c>
      <c r="BQ688" s="54">
        <v>45251</v>
      </c>
      <c r="BR688" s="53" t="s">
        <v>701</v>
      </c>
      <c r="BS688" s="53" t="s">
        <v>315</v>
      </c>
      <c r="BT688" s="53" t="s">
        <v>2022</v>
      </c>
    </row>
    <row r="689" spans="67:72" x14ac:dyDescent="0.3">
      <c r="BO689" s="53" t="s">
        <v>125</v>
      </c>
      <c r="BP689" s="53" t="s">
        <v>2025</v>
      </c>
      <c r="BQ689" s="54">
        <v>45251</v>
      </c>
      <c r="BR689" s="53" t="s">
        <v>701</v>
      </c>
      <c r="BS689" s="53" t="s">
        <v>315</v>
      </c>
      <c r="BT689" s="53" t="s">
        <v>2024</v>
      </c>
    </row>
    <row r="690" spans="67:72" x14ac:dyDescent="0.3">
      <c r="BO690" s="53" t="s">
        <v>125</v>
      </c>
      <c r="BP690" s="53" t="s">
        <v>2027</v>
      </c>
      <c r="BQ690" s="54">
        <v>45251</v>
      </c>
      <c r="BR690" s="53" t="s">
        <v>701</v>
      </c>
      <c r="BS690" s="53" t="s">
        <v>315</v>
      </c>
      <c r="BT690" s="53" t="s">
        <v>2026</v>
      </c>
    </row>
    <row r="691" spans="67:72" x14ac:dyDescent="0.3">
      <c r="BO691" s="53" t="s">
        <v>125</v>
      </c>
      <c r="BP691" s="53" t="s">
        <v>2096</v>
      </c>
      <c r="BQ691" s="54">
        <v>45278</v>
      </c>
      <c r="BR691" s="53" t="s">
        <v>701</v>
      </c>
      <c r="BS691" s="53" t="s">
        <v>315</v>
      </c>
      <c r="BT691" s="53" t="s">
        <v>2095</v>
      </c>
    </row>
    <row r="692" spans="67:72" x14ac:dyDescent="0.3">
      <c r="BO692" s="53" t="s">
        <v>125</v>
      </c>
      <c r="BP692" s="53" t="s">
        <v>2098</v>
      </c>
      <c r="BQ692" s="54">
        <v>45278</v>
      </c>
      <c r="BR692" s="53" t="s">
        <v>701</v>
      </c>
      <c r="BS692" s="53" t="s">
        <v>315</v>
      </c>
      <c r="BT692" s="53" t="s">
        <v>2097</v>
      </c>
    </row>
    <row r="693" spans="67:72" x14ac:dyDescent="0.3">
      <c r="BO693" s="53" t="s">
        <v>94</v>
      </c>
      <c r="BP693" s="53" t="s">
        <v>729</v>
      </c>
      <c r="BQ693" s="54">
        <v>42795</v>
      </c>
      <c r="BR693" s="53" t="s">
        <v>701</v>
      </c>
      <c r="BS693" s="53" t="s">
        <v>190</v>
      </c>
      <c r="BT693" s="53" t="s">
        <v>730</v>
      </c>
    </row>
    <row r="694" spans="67:72" x14ac:dyDescent="0.3">
      <c r="BO694" s="53" t="s">
        <v>94</v>
      </c>
      <c r="BP694" s="53" t="s">
        <v>1832</v>
      </c>
      <c r="BQ694" s="54">
        <v>45198</v>
      </c>
      <c r="BR694" s="53" t="s">
        <v>701</v>
      </c>
      <c r="BS694" s="53" t="s">
        <v>115</v>
      </c>
      <c r="BT694" s="53" t="s">
        <v>1831</v>
      </c>
    </row>
    <row r="695" spans="67:72" x14ac:dyDescent="0.3">
      <c r="BO695" s="53" t="s">
        <v>125</v>
      </c>
      <c r="BP695" s="53" t="s">
        <v>731</v>
      </c>
      <c r="BQ695" s="54">
        <v>42671</v>
      </c>
      <c r="BR695" s="53" t="s">
        <v>701</v>
      </c>
      <c r="BS695" s="53" t="s">
        <v>732</v>
      </c>
      <c r="BT695" s="53" t="s">
        <v>733</v>
      </c>
    </row>
    <row r="696" spans="67:72" x14ac:dyDescent="0.3">
      <c r="BO696" s="53" t="s">
        <v>125</v>
      </c>
      <c r="BP696" s="53" t="s">
        <v>1559</v>
      </c>
      <c r="BQ696" s="54">
        <v>45111</v>
      </c>
      <c r="BR696" s="53" t="s">
        <v>701</v>
      </c>
      <c r="BS696" s="53" t="s">
        <v>330</v>
      </c>
      <c r="BT696" s="53" t="s">
        <v>1558</v>
      </c>
    </row>
    <row r="697" spans="67:72" x14ac:dyDescent="0.3">
      <c r="BO697" s="53" t="s">
        <v>125</v>
      </c>
      <c r="BP697" s="53" t="s">
        <v>1561</v>
      </c>
      <c r="BQ697" s="54">
        <v>45111</v>
      </c>
      <c r="BR697" s="53" t="s">
        <v>701</v>
      </c>
      <c r="BS697" s="53" t="s">
        <v>330</v>
      </c>
      <c r="BT697" s="53" t="s">
        <v>1560</v>
      </c>
    </row>
    <row r="698" spans="67:72" x14ac:dyDescent="0.3">
      <c r="BO698" s="53" t="s">
        <v>125</v>
      </c>
      <c r="BP698" s="53" t="s">
        <v>1649</v>
      </c>
      <c r="BQ698" s="54">
        <v>45121</v>
      </c>
      <c r="BR698" s="53" t="s">
        <v>701</v>
      </c>
      <c r="BS698" s="53" t="s">
        <v>330</v>
      </c>
      <c r="BT698" s="53" t="s">
        <v>1648</v>
      </c>
    </row>
    <row r="699" spans="67:72" x14ac:dyDescent="0.3">
      <c r="BO699" s="53" t="s">
        <v>125</v>
      </c>
      <c r="BP699" s="53" t="s">
        <v>1651</v>
      </c>
      <c r="BQ699" s="54">
        <v>45126</v>
      </c>
      <c r="BR699" s="53" t="s">
        <v>701</v>
      </c>
      <c r="BS699" s="53" t="s">
        <v>330</v>
      </c>
      <c r="BT699" s="53" t="s">
        <v>1650</v>
      </c>
    </row>
    <row r="700" spans="67:72" x14ac:dyDescent="0.3">
      <c r="BO700" s="53" t="s">
        <v>125</v>
      </c>
      <c r="BP700" s="53" t="s">
        <v>1708</v>
      </c>
      <c r="BQ700" s="54">
        <v>45154</v>
      </c>
      <c r="BR700" s="53" t="s">
        <v>701</v>
      </c>
      <c r="BS700" s="53" t="s">
        <v>330</v>
      </c>
      <c r="BT700" s="53" t="s">
        <v>1707</v>
      </c>
    </row>
    <row r="701" spans="67:72" x14ac:dyDescent="0.3">
      <c r="BO701" s="53" t="s">
        <v>125</v>
      </c>
      <c r="BP701" s="53" t="s">
        <v>1750</v>
      </c>
      <c r="BQ701" s="54">
        <v>45162</v>
      </c>
      <c r="BR701" s="53" t="s">
        <v>701</v>
      </c>
      <c r="BS701" s="53" t="s">
        <v>330</v>
      </c>
      <c r="BT701" s="53" t="s">
        <v>1749</v>
      </c>
    </row>
    <row r="702" spans="67:72" x14ac:dyDescent="0.3">
      <c r="BO702" s="53" t="s">
        <v>125</v>
      </c>
      <c r="BP702" s="53" t="s">
        <v>2100</v>
      </c>
      <c r="BQ702" s="54">
        <v>45278</v>
      </c>
      <c r="BR702" s="53" t="s">
        <v>701</v>
      </c>
      <c r="BS702" s="53" t="s">
        <v>330</v>
      </c>
      <c r="BT702" s="53" t="s">
        <v>2099</v>
      </c>
    </row>
    <row r="703" spans="67:72" x14ac:dyDescent="0.3">
      <c r="BO703" s="53" t="s">
        <v>125</v>
      </c>
      <c r="BP703" s="53" t="s">
        <v>2102</v>
      </c>
      <c r="BQ703" s="54">
        <v>45278</v>
      </c>
      <c r="BR703" s="53" t="s">
        <v>701</v>
      </c>
      <c r="BS703" s="53" t="s">
        <v>330</v>
      </c>
      <c r="BT703" s="53" t="s">
        <v>2101</v>
      </c>
    </row>
    <row r="704" spans="67:72" x14ac:dyDescent="0.3">
      <c r="BO704" s="53" t="s">
        <v>125</v>
      </c>
      <c r="BP704" s="53" t="s">
        <v>2104</v>
      </c>
      <c r="BQ704" s="54">
        <v>45278</v>
      </c>
      <c r="BR704" s="53" t="s">
        <v>701</v>
      </c>
      <c r="BS704" s="53" t="s">
        <v>330</v>
      </c>
      <c r="BT704" s="53" t="s">
        <v>2103</v>
      </c>
    </row>
    <row r="705" spans="67:72" x14ac:dyDescent="0.3">
      <c r="BO705" s="53" t="s">
        <v>125</v>
      </c>
      <c r="BP705" s="53" t="s">
        <v>734</v>
      </c>
      <c r="BQ705" s="54">
        <v>44279</v>
      </c>
      <c r="BR705" s="53" t="s">
        <v>701</v>
      </c>
      <c r="BS705" s="53" t="s">
        <v>700</v>
      </c>
      <c r="BT705" s="53" t="s">
        <v>735</v>
      </c>
    </row>
    <row r="706" spans="67:72" x14ac:dyDescent="0.3">
      <c r="BO706" s="53" t="s">
        <v>125</v>
      </c>
      <c r="BP706" s="53" t="s">
        <v>736</v>
      </c>
      <c r="BQ706" s="54">
        <v>42607</v>
      </c>
      <c r="BR706" s="53" t="s">
        <v>701</v>
      </c>
      <c r="BS706" s="53" t="s">
        <v>737</v>
      </c>
      <c r="BT706" s="53" t="s">
        <v>738</v>
      </c>
    </row>
    <row r="707" spans="67:72" x14ac:dyDescent="0.3">
      <c r="BO707" s="53" t="s">
        <v>125</v>
      </c>
      <c r="BP707" s="53" t="s">
        <v>1520</v>
      </c>
      <c r="BQ707" s="54">
        <v>45092</v>
      </c>
      <c r="BR707" s="53" t="s">
        <v>701</v>
      </c>
      <c r="BS707" s="53" t="s">
        <v>737</v>
      </c>
      <c r="BT707" s="53" t="s">
        <v>1519</v>
      </c>
    </row>
    <row r="708" spans="67:72" x14ac:dyDescent="0.3">
      <c r="BO708" s="53" t="s">
        <v>125</v>
      </c>
      <c r="BP708" s="53" t="s">
        <v>1865</v>
      </c>
      <c r="BQ708" s="54">
        <v>45202</v>
      </c>
      <c r="BR708" s="53" t="s">
        <v>701</v>
      </c>
      <c r="BS708" s="53" t="s">
        <v>737</v>
      </c>
      <c r="BT708" s="53" t="s">
        <v>1864</v>
      </c>
    </row>
    <row r="709" spans="67:72" x14ac:dyDescent="0.3">
      <c r="BO709" s="53" t="s">
        <v>125</v>
      </c>
      <c r="BP709" s="53" t="s">
        <v>1914</v>
      </c>
      <c r="BQ709" s="54">
        <v>45224</v>
      </c>
      <c r="BR709" s="53" t="s">
        <v>701</v>
      </c>
      <c r="BS709" s="53" t="s">
        <v>737</v>
      </c>
      <c r="BT709" s="53" t="s">
        <v>1913</v>
      </c>
    </row>
    <row r="710" spans="67:72" x14ac:dyDescent="0.3">
      <c r="BO710" s="53" t="s">
        <v>125</v>
      </c>
      <c r="BP710" s="53" t="s">
        <v>1916</v>
      </c>
      <c r="BQ710" s="54">
        <v>45230</v>
      </c>
      <c r="BR710" s="53" t="s">
        <v>701</v>
      </c>
      <c r="BS710" s="53" t="s">
        <v>737</v>
      </c>
      <c r="BT710" s="53" t="s">
        <v>1915</v>
      </c>
    </row>
    <row r="711" spans="67:72" x14ac:dyDescent="0.3">
      <c r="BO711" s="53" t="s">
        <v>125</v>
      </c>
      <c r="BP711" s="53" t="s">
        <v>1184</v>
      </c>
      <c r="BQ711" s="54">
        <v>44908</v>
      </c>
      <c r="BR711" s="53" t="s">
        <v>701</v>
      </c>
      <c r="BS711" s="53" t="s">
        <v>132</v>
      </c>
      <c r="BT711" s="53" t="s">
        <v>1183</v>
      </c>
    </row>
    <row r="712" spans="67:72" x14ac:dyDescent="0.3">
      <c r="BO712" s="53" t="s">
        <v>125</v>
      </c>
      <c r="BP712" s="53" t="s">
        <v>1186</v>
      </c>
      <c r="BQ712" s="54">
        <v>44909</v>
      </c>
      <c r="BR712" s="53" t="s">
        <v>701</v>
      </c>
      <c r="BS712" s="53" t="s">
        <v>132</v>
      </c>
      <c r="BT712" s="53" t="s">
        <v>1185</v>
      </c>
    </row>
    <row r="713" spans="67:72" x14ac:dyDescent="0.3">
      <c r="BO713" s="53" t="s">
        <v>125</v>
      </c>
      <c r="BP713" s="53" t="s">
        <v>1337</v>
      </c>
      <c r="BQ713" s="54">
        <v>44929</v>
      </c>
      <c r="BR713" s="53" t="s">
        <v>701</v>
      </c>
      <c r="BS713" s="53" t="s">
        <v>132</v>
      </c>
      <c r="BT713" s="53" t="s">
        <v>1336</v>
      </c>
    </row>
    <row r="714" spans="67:72" x14ac:dyDescent="0.3">
      <c r="BO714" s="53" t="s">
        <v>125</v>
      </c>
      <c r="BP714" s="53" t="s">
        <v>1153</v>
      </c>
      <c r="BQ714" s="54">
        <v>45000</v>
      </c>
      <c r="BR714" s="53" t="s">
        <v>701</v>
      </c>
      <c r="BS714" s="53" t="s">
        <v>132</v>
      </c>
      <c r="BT714" s="53" t="s">
        <v>1338</v>
      </c>
    </row>
    <row r="715" spans="67:72" x14ac:dyDescent="0.3">
      <c r="BO715" s="53" t="s">
        <v>125</v>
      </c>
      <c r="BP715" s="53" t="s">
        <v>1710</v>
      </c>
      <c r="BQ715" s="54">
        <v>45153</v>
      </c>
      <c r="BR715" s="53" t="s">
        <v>701</v>
      </c>
      <c r="BS715" s="53" t="s">
        <v>132</v>
      </c>
      <c r="BT715" s="53" t="s">
        <v>1709</v>
      </c>
    </row>
    <row r="716" spans="67:72" x14ac:dyDescent="0.3">
      <c r="BO716" s="53" t="s">
        <v>125</v>
      </c>
      <c r="BP716" s="53" t="s">
        <v>1918</v>
      </c>
      <c r="BQ716" s="54">
        <v>45230</v>
      </c>
      <c r="BR716" s="53" t="s">
        <v>701</v>
      </c>
      <c r="BS716" s="53" t="s">
        <v>132</v>
      </c>
      <c r="BT716" s="53" t="s">
        <v>1917</v>
      </c>
    </row>
    <row r="717" spans="67:72" x14ac:dyDescent="0.3">
      <c r="BO717" s="53" t="s">
        <v>125</v>
      </c>
      <c r="BP717" s="53" t="s">
        <v>2058</v>
      </c>
      <c r="BQ717" s="54">
        <v>45259</v>
      </c>
      <c r="BR717" s="53" t="s">
        <v>701</v>
      </c>
      <c r="BS717" s="53" t="s">
        <v>132</v>
      </c>
      <c r="BT717" s="53" t="s">
        <v>2057</v>
      </c>
    </row>
    <row r="718" spans="67:72" x14ac:dyDescent="0.3">
      <c r="BO718" s="53" t="s">
        <v>125</v>
      </c>
      <c r="BP718" s="53" t="s">
        <v>2060</v>
      </c>
      <c r="BQ718" s="54">
        <v>45260</v>
      </c>
      <c r="BR718" s="53" t="s">
        <v>701</v>
      </c>
      <c r="BS718" s="53" t="s">
        <v>132</v>
      </c>
      <c r="BT718" s="53" t="s">
        <v>2059</v>
      </c>
    </row>
    <row r="719" spans="67:72" x14ac:dyDescent="0.3">
      <c r="BO719" s="53" t="s">
        <v>125</v>
      </c>
      <c r="BP719" s="53" t="s">
        <v>2106</v>
      </c>
      <c r="BQ719" s="54">
        <v>45275</v>
      </c>
      <c r="BR719" s="53" t="s">
        <v>701</v>
      </c>
      <c r="BS719" s="53" t="s">
        <v>132</v>
      </c>
      <c r="BT719" s="53" t="s">
        <v>2105</v>
      </c>
    </row>
    <row r="720" spans="67:72" x14ac:dyDescent="0.3">
      <c r="BO720" s="53" t="s">
        <v>94</v>
      </c>
      <c r="BP720" s="53" t="s">
        <v>2112</v>
      </c>
      <c r="BQ720" s="54">
        <v>45278</v>
      </c>
      <c r="BR720" s="53" t="s">
        <v>701</v>
      </c>
      <c r="BS720" s="53" t="s">
        <v>1234</v>
      </c>
      <c r="BT720" s="53" t="s">
        <v>2111</v>
      </c>
    </row>
    <row r="721" spans="67:72" x14ac:dyDescent="0.3">
      <c r="BO721" s="53" t="s">
        <v>125</v>
      </c>
      <c r="BP721" s="53" t="s">
        <v>739</v>
      </c>
      <c r="BQ721" s="54">
        <v>42165</v>
      </c>
      <c r="BR721" s="53" t="s">
        <v>701</v>
      </c>
      <c r="BS721" s="53" t="s">
        <v>1113</v>
      </c>
      <c r="BT721" s="53" t="s">
        <v>740</v>
      </c>
    </row>
    <row r="722" spans="67:72" x14ac:dyDescent="0.3">
      <c r="BO722" s="53" t="s">
        <v>125</v>
      </c>
      <c r="BP722" s="53" t="s">
        <v>741</v>
      </c>
      <c r="BQ722" s="54">
        <v>42167</v>
      </c>
      <c r="BR722" s="53" t="s">
        <v>701</v>
      </c>
      <c r="BS722" s="53" t="s">
        <v>719</v>
      </c>
      <c r="BT722" s="53" t="s">
        <v>742</v>
      </c>
    </row>
    <row r="723" spans="67:72" x14ac:dyDescent="0.3">
      <c r="BO723" s="53" t="s">
        <v>125</v>
      </c>
      <c r="BP723" s="53" t="s">
        <v>743</v>
      </c>
      <c r="BQ723" s="54">
        <v>42222</v>
      </c>
      <c r="BR723" s="53" t="s">
        <v>701</v>
      </c>
      <c r="BS723" s="53" t="s">
        <v>719</v>
      </c>
      <c r="BT723" s="53" t="s">
        <v>744</v>
      </c>
    </row>
    <row r="724" spans="67:72" x14ac:dyDescent="0.3">
      <c r="BO724" s="53" t="s">
        <v>125</v>
      </c>
      <c r="BP724" s="53" t="s">
        <v>745</v>
      </c>
      <c r="BQ724" s="54">
        <v>42296</v>
      </c>
      <c r="BR724" s="53" t="s">
        <v>701</v>
      </c>
      <c r="BS724" s="53" t="s">
        <v>1113</v>
      </c>
      <c r="BT724" s="53" t="s">
        <v>746</v>
      </c>
    </row>
    <row r="725" spans="67:72" x14ac:dyDescent="0.3">
      <c r="BO725" s="53" t="s">
        <v>125</v>
      </c>
      <c r="BP725" s="53" t="s">
        <v>747</v>
      </c>
      <c r="BQ725" s="54">
        <v>42305</v>
      </c>
      <c r="BR725" s="53" t="s">
        <v>701</v>
      </c>
      <c r="BS725" s="53" t="s">
        <v>748</v>
      </c>
      <c r="BT725" s="53" t="s">
        <v>749</v>
      </c>
    </row>
    <row r="726" spans="67:72" x14ac:dyDescent="0.3">
      <c r="BO726" s="53" t="s">
        <v>125</v>
      </c>
      <c r="BP726" s="53" t="s">
        <v>750</v>
      </c>
      <c r="BQ726" s="54">
        <v>42374</v>
      </c>
      <c r="BR726" s="53" t="s">
        <v>701</v>
      </c>
      <c r="BS726" s="53" t="s">
        <v>737</v>
      </c>
      <c r="BT726" s="53" t="s">
        <v>751</v>
      </c>
    </row>
    <row r="727" spans="67:72" x14ac:dyDescent="0.3">
      <c r="BO727" s="53" t="s">
        <v>94</v>
      </c>
      <c r="BP727" s="53" t="s">
        <v>752</v>
      </c>
      <c r="BQ727" s="54">
        <v>42940</v>
      </c>
      <c r="BR727" s="53" t="s">
        <v>701</v>
      </c>
      <c r="BS727" s="53" t="s">
        <v>348</v>
      </c>
      <c r="BT727" s="53" t="s">
        <v>753</v>
      </c>
    </row>
    <row r="728" spans="67:72" x14ac:dyDescent="0.3">
      <c r="BO728" s="53" t="s">
        <v>125</v>
      </c>
      <c r="BP728" s="53" t="s">
        <v>928</v>
      </c>
      <c r="BQ728" s="54">
        <v>44644</v>
      </c>
      <c r="BR728" s="53" t="s">
        <v>701</v>
      </c>
      <c r="BS728" s="53" t="s">
        <v>339</v>
      </c>
      <c r="BT728" s="53" t="s">
        <v>927</v>
      </c>
    </row>
    <row r="729" spans="67:72" x14ac:dyDescent="0.3">
      <c r="BO729" s="53" t="s">
        <v>125</v>
      </c>
      <c r="BP729" s="53" t="s">
        <v>754</v>
      </c>
      <c r="BQ729" s="54">
        <v>43894</v>
      </c>
      <c r="BR729" s="53" t="s">
        <v>701</v>
      </c>
      <c r="BS729" s="53" t="s">
        <v>132</v>
      </c>
      <c r="BT729" s="53" t="s">
        <v>755</v>
      </c>
    </row>
    <row r="730" spans="67:72" x14ac:dyDescent="0.3">
      <c r="BO730" s="53" t="s">
        <v>125</v>
      </c>
      <c r="BP730" s="53" t="s">
        <v>756</v>
      </c>
      <c r="BQ730" s="54">
        <v>44061</v>
      </c>
      <c r="BR730" s="53" t="s">
        <v>701</v>
      </c>
      <c r="BS730" s="53" t="s">
        <v>267</v>
      </c>
      <c r="BT730" s="53" t="s">
        <v>757</v>
      </c>
    </row>
    <row r="731" spans="67:72" x14ac:dyDescent="0.3">
      <c r="BO731" s="53" t="s">
        <v>125</v>
      </c>
      <c r="BP731" s="53" t="s">
        <v>758</v>
      </c>
      <c r="BQ731" s="54">
        <v>44061</v>
      </c>
      <c r="BR731" s="53" t="s">
        <v>701</v>
      </c>
      <c r="BS731" s="53" t="s">
        <v>267</v>
      </c>
      <c r="BT731" s="53" t="s">
        <v>759</v>
      </c>
    </row>
    <row r="732" spans="67:72" x14ac:dyDescent="0.3">
      <c r="BO732" s="53" t="s">
        <v>125</v>
      </c>
      <c r="BP732" s="53" t="s">
        <v>760</v>
      </c>
      <c r="BQ732" s="54">
        <v>42633</v>
      </c>
      <c r="BR732" s="53" t="s">
        <v>701</v>
      </c>
      <c r="BS732" s="53" t="s">
        <v>1113</v>
      </c>
      <c r="BT732" s="53" t="s">
        <v>761</v>
      </c>
    </row>
    <row r="733" spans="67:72" x14ac:dyDescent="0.3">
      <c r="BO733" s="53" t="s">
        <v>125</v>
      </c>
      <c r="BP733" s="53" t="s">
        <v>1653</v>
      </c>
      <c r="BQ733" s="54">
        <v>45124</v>
      </c>
      <c r="BR733" s="53" t="s">
        <v>701</v>
      </c>
      <c r="BS733" s="53" t="s">
        <v>1113</v>
      </c>
      <c r="BT733" s="53" t="s">
        <v>1652</v>
      </c>
    </row>
    <row r="734" spans="67:72" x14ac:dyDescent="0.3">
      <c r="BO734" s="53" t="s">
        <v>125</v>
      </c>
      <c r="BP734" s="53" t="s">
        <v>1712</v>
      </c>
      <c r="BQ734" s="54">
        <v>45155</v>
      </c>
      <c r="BR734" s="53" t="s">
        <v>701</v>
      </c>
      <c r="BS734" s="53" t="s">
        <v>1113</v>
      </c>
      <c r="BT734" s="53" t="s">
        <v>1711</v>
      </c>
    </row>
    <row r="735" spans="67:72" x14ac:dyDescent="0.3">
      <c r="BO735" s="53" t="s">
        <v>125</v>
      </c>
      <c r="BP735" s="53" t="s">
        <v>762</v>
      </c>
      <c r="BQ735" s="54">
        <v>42682</v>
      </c>
      <c r="BR735" s="53" t="s">
        <v>701</v>
      </c>
      <c r="BS735" s="53" t="s">
        <v>1113</v>
      </c>
      <c r="BT735" s="53" t="s">
        <v>763</v>
      </c>
    </row>
    <row r="736" spans="67:72" x14ac:dyDescent="0.3">
      <c r="BO736" s="53" t="s">
        <v>125</v>
      </c>
      <c r="BP736" s="53" t="s">
        <v>1188</v>
      </c>
      <c r="BQ736" s="54">
        <v>44910</v>
      </c>
      <c r="BR736" s="53" t="s">
        <v>701</v>
      </c>
      <c r="BS736" s="53" t="s">
        <v>330</v>
      </c>
      <c r="BT736" s="53" t="s">
        <v>1187</v>
      </c>
    </row>
    <row r="737" spans="67:72" x14ac:dyDescent="0.3">
      <c r="BO737" s="53" t="s">
        <v>125</v>
      </c>
      <c r="BP737" s="53" t="s">
        <v>1340</v>
      </c>
      <c r="BQ737" s="54">
        <v>44945</v>
      </c>
      <c r="BR737" s="53" t="s">
        <v>701</v>
      </c>
      <c r="BS737" s="53" t="s">
        <v>330</v>
      </c>
      <c r="BT737" s="53" t="s">
        <v>1339</v>
      </c>
    </row>
    <row r="738" spans="67:72" x14ac:dyDescent="0.3">
      <c r="BO738" s="53" t="s">
        <v>125</v>
      </c>
      <c r="BP738" s="53" t="s">
        <v>1714</v>
      </c>
      <c r="BQ738" s="54">
        <v>45153</v>
      </c>
      <c r="BR738" s="53" t="s">
        <v>701</v>
      </c>
      <c r="BS738" s="53" t="s">
        <v>330</v>
      </c>
      <c r="BT738" s="53" t="s">
        <v>1713</v>
      </c>
    </row>
    <row r="739" spans="67:72" x14ac:dyDescent="0.3">
      <c r="BO739" s="53" t="s">
        <v>125</v>
      </c>
      <c r="BP739" s="53" t="s">
        <v>1752</v>
      </c>
      <c r="BQ739" s="54">
        <v>45163</v>
      </c>
      <c r="BR739" s="53" t="s">
        <v>701</v>
      </c>
      <c r="BS739" s="53" t="s">
        <v>330</v>
      </c>
      <c r="BT739" s="53" t="s">
        <v>1751</v>
      </c>
    </row>
    <row r="740" spans="67:72" x14ac:dyDescent="0.3">
      <c r="BO740" s="53" t="s">
        <v>125</v>
      </c>
      <c r="BP740" s="53" t="s">
        <v>1342</v>
      </c>
      <c r="BQ740" s="54">
        <v>44984</v>
      </c>
      <c r="BR740" s="53" t="s">
        <v>701</v>
      </c>
      <c r="BS740" s="53" t="s">
        <v>329</v>
      </c>
      <c r="BT740" s="53" t="s">
        <v>1341</v>
      </c>
    </row>
    <row r="741" spans="67:72" x14ac:dyDescent="0.3">
      <c r="BO741" s="53" t="s">
        <v>125</v>
      </c>
      <c r="BP741" s="53" t="s">
        <v>1754</v>
      </c>
      <c r="BQ741" s="54">
        <v>45162</v>
      </c>
      <c r="BR741" s="53" t="s">
        <v>701</v>
      </c>
      <c r="BS741" s="53" t="s">
        <v>329</v>
      </c>
      <c r="BT741" s="53" t="s">
        <v>1753</v>
      </c>
    </row>
    <row r="742" spans="67:72" x14ac:dyDescent="0.3">
      <c r="BO742" s="181" t="s">
        <v>125</v>
      </c>
      <c r="BP742" s="181" t="s">
        <v>1919</v>
      </c>
      <c r="BQ742" s="182">
        <v>45203</v>
      </c>
      <c r="BR742" s="181" t="s">
        <v>701</v>
      </c>
      <c r="BS742" s="181" t="s">
        <v>329</v>
      </c>
      <c r="BT742" s="181" t="s">
        <v>1866</v>
      </c>
    </row>
    <row r="743" spans="67:72" x14ac:dyDescent="0.3">
      <c r="BO743" s="181" t="s">
        <v>125</v>
      </c>
      <c r="BP743" s="181" t="s">
        <v>1921</v>
      </c>
      <c r="BQ743" s="182">
        <v>45230</v>
      </c>
      <c r="BR743" s="181" t="s">
        <v>701</v>
      </c>
      <c r="BS743" s="181" t="s">
        <v>330</v>
      </c>
      <c r="BT743" s="181" t="s">
        <v>1920</v>
      </c>
    </row>
    <row r="744" spans="67:72" x14ac:dyDescent="0.3">
      <c r="BO744" s="181" t="s">
        <v>125</v>
      </c>
      <c r="BP744" s="181" t="s">
        <v>1867</v>
      </c>
      <c r="BQ744" s="182">
        <v>45147</v>
      </c>
      <c r="BR744" s="181" t="s">
        <v>701</v>
      </c>
      <c r="BS744" s="181" t="s">
        <v>1113</v>
      </c>
      <c r="BT744" s="181" t="s">
        <v>1654</v>
      </c>
    </row>
    <row r="745" spans="67:72" x14ac:dyDescent="0.3">
      <c r="BO745" s="181" t="s">
        <v>125</v>
      </c>
      <c r="BP745" s="181" t="s">
        <v>1723</v>
      </c>
      <c r="BQ745" s="182">
        <v>45159</v>
      </c>
      <c r="BR745" s="181" t="s">
        <v>701</v>
      </c>
      <c r="BS745" s="181" t="s">
        <v>1113</v>
      </c>
      <c r="BT745" s="181" t="s">
        <v>1722</v>
      </c>
    </row>
    <row r="746" spans="67:72" x14ac:dyDescent="0.3">
      <c r="BO746" s="181" t="s">
        <v>125</v>
      </c>
      <c r="BP746" s="181" t="s">
        <v>1785</v>
      </c>
      <c r="BQ746" s="182">
        <v>45189</v>
      </c>
      <c r="BR746" s="181" t="s">
        <v>701</v>
      </c>
      <c r="BS746" s="181" t="s">
        <v>1113</v>
      </c>
      <c r="BT746" s="181" t="s">
        <v>1784</v>
      </c>
    </row>
    <row r="747" spans="67:72" x14ac:dyDescent="0.3">
      <c r="BO747" s="181" t="s">
        <v>125</v>
      </c>
      <c r="BP747" s="181" t="s">
        <v>1824</v>
      </c>
      <c r="BQ747" s="182">
        <v>45194</v>
      </c>
      <c r="BR747" s="181" t="s">
        <v>701</v>
      </c>
      <c r="BS747" s="181" t="s">
        <v>1113</v>
      </c>
      <c r="BT747" s="181" t="s">
        <v>1786</v>
      </c>
    </row>
    <row r="748" spans="67:72" x14ac:dyDescent="0.3">
      <c r="BO748" s="181" t="s">
        <v>125</v>
      </c>
      <c r="BP748" s="181" t="s">
        <v>1826</v>
      </c>
      <c r="BQ748" s="182">
        <v>45196</v>
      </c>
      <c r="BR748" s="181" t="s">
        <v>701</v>
      </c>
      <c r="BS748" s="181" t="s">
        <v>1113</v>
      </c>
      <c r="BT748" s="181" t="s">
        <v>1825</v>
      </c>
    </row>
    <row r="749" spans="67:72" x14ac:dyDescent="0.3">
      <c r="BO749" s="181" t="s">
        <v>125</v>
      </c>
      <c r="BP749" s="181" t="s">
        <v>1828</v>
      </c>
      <c r="BQ749" s="182">
        <v>45196</v>
      </c>
      <c r="BR749" s="181" t="s">
        <v>701</v>
      </c>
      <c r="BS749" s="181" t="s">
        <v>1113</v>
      </c>
      <c r="BT749" s="181" t="s">
        <v>1827</v>
      </c>
    </row>
    <row r="750" spans="67:72" x14ac:dyDescent="0.3">
      <c r="BO750" s="181" t="s">
        <v>125</v>
      </c>
      <c r="BP750" s="181" t="s">
        <v>2029</v>
      </c>
      <c r="BQ750" s="182">
        <v>45250</v>
      </c>
      <c r="BR750" s="181" t="s">
        <v>701</v>
      </c>
      <c r="BS750" s="181" t="s">
        <v>1113</v>
      </c>
      <c r="BT750" s="181" t="s">
        <v>2028</v>
      </c>
    </row>
    <row r="751" spans="67:72" x14ac:dyDescent="0.3">
      <c r="BO751" s="181" t="s">
        <v>125</v>
      </c>
      <c r="BP751" s="181" t="s">
        <v>2087</v>
      </c>
      <c r="BQ751" s="182">
        <v>45271</v>
      </c>
      <c r="BR751" s="181" t="s">
        <v>701</v>
      </c>
      <c r="BS751" s="181" t="s">
        <v>1113</v>
      </c>
      <c r="BT751" s="181" t="s">
        <v>2086</v>
      </c>
    </row>
    <row r="752" spans="67:72" x14ac:dyDescent="0.3">
      <c r="BO752" s="181" t="s">
        <v>125</v>
      </c>
      <c r="BP752" s="181" t="s">
        <v>764</v>
      </c>
      <c r="BQ752" s="182">
        <v>44224</v>
      </c>
      <c r="BR752" s="181" t="s">
        <v>701</v>
      </c>
      <c r="BS752" s="181" t="s">
        <v>347</v>
      </c>
      <c r="BT752" s="181" t="s">
        <v>765</v>
      </c>
    </row>
    <row r="753" spans="67:72" x14ac:dyDescent="0.3">
      <c r="BO753" s="181" t="s">
        <v>125</v>
      </c>
      <c r="BP753" s="181" t="s">
        <v>930</v>
      </c>
      <c r="BQ753" s="182">
        <v>44545</v>
      </c>
      <c r="BR753" s="181" t="s">
        <v>701</v>
      </c>
      <c r="BS753" s="181" t="s">
        <v>267</v>
      </c>
      <c r="BT753" s="181" t="s">
        <v>929</v>
      </c>
    </row>
    <row r="754" spans="67:72" x14ac:dyDescent="0.3">
      <c r="BO754" s="181" t="s">
        <v>125</v>
      </c>
      <c r="BP754" s="181" t="s">
        <v>2031</v>
      </c>
      <c r="BQ754" s="182">
        <v>45250</v>
      </c>
      <c r="BR754" s="181" t="s">
        <v>701</v>
      </c>
      <c r="BS754" s="181" t="s">
        <v>1113</v>
      </c>
      <c r="BT754" s="181" t="s">
        <v>2030</v>
      </c>
    </row>
    <row r="755" spans="67:72" x14ac:dyDescent="0.3">
      <c r="BO755" s="181" t="s">
        <v>125</v>
      </c>
      <c r="BP755" s="181" t="s">
        <v>1656</v>
      </c>
      <c r="BQ755" s="182">
        <v>45120</v>
      </c>
      <c r="BR755" s="181" t="s">
        <v>701</v>
      </c>
      <c r="BS755" s="181" t="s">
        <v>1113</v>
      </c>
      <c r="BT755" s="181" t="s">
        <v>1655</v>
      </c>
    </row>
    <row r="756" spans="67:72" x14ac:dyDescent="0.3">
      <c r="BO756" s="181" t="s">
        <v>125</v>
      </c>
      <c r="BP756" s="181" t="s">
        <v>2089</v>
      </c>
      <c r="BQ756" s="182">
        <v>45271</v>
      </c>
      <c r="BR756" s="181" t="s">
        <v>701</v>
      </c>
      <c r="BS756" s="181" t="s">
        <v>1113</v>
      </c>
      <c r="BT756" s="181" t="s">
        <v>2088</v>
      </c>
    </row>
    <row r="757" spans="67:72" x14ac:dyDescent="0.3">
      <c r="BO757" s="181" t="s">
        <v>125</v>
      </c>
      <c r="BP757" s="181" t="s">
        <v>2062</v>
      </c>
      <c r="BQ757" s="182">
        <v>45266</v>
      </c>
      <c r="BR757" s="181" t="s">
        <v>701</v>
      </c>
      <c r="BS757" s="181" t="s">
        <v>360</v>
      </c>
      <c r="BT757" s="181" t="s">
        <v>2061</v>
      </c>
    </row>
    <row r="758" spans="67:72" x14ac:dyDescent="0.3">
      <c r="BO758" s="181" t="s">
        <v>125</v>
      </c>
      <c r="BP758" s="181" t="s">
        <v>1658</v>
      </c>
      <c r="BQ758" s="182">
        <v>45120</v>
      </c>
      <c r="BR758" s="181" t="s">
        <v>701</v>
      </c>
      <c r="BS758" s="181" t="s">
        <v>1113</v>
      </c>
      <c r="BT758" s="181" t="s">
        <v>1657</v>
      </c>
    </row>
    <row r="759" spans="67:72" x14ac:dyDescent="0.3">
      <c r="BO759" s="181" t="s">
        <v>125</v>
      </c>
      <c r="BP759" s="181" t="s">
        <v>1716</v>
      </c>
      <c r="BQ759" s="182">
        <v>45153</v>
      </c>
      <c r="BR759" s="181" t="s">
        <v>701</v>
      </c>
      <c r="BS759" s="181" t="s">
        <v>339</v>
      </c>
      <c r="BT759" s="181" t="s">
        <v>1715</v>
      </c>
    </row>
    <row r="760" spans="67:72" x14ac:dyDescent="0.3">
      <c r="BO760" s="181" t="s">
        <v>125</v>
      </c>
      <c r="BP760" s="181" t="s">
        <v>1660</v>
      </c>
      <c r="BQ760" s="182">
        <v>45124</v>
      </c>
      <c r="BR760" s="181" t="s">
        <v>701</v>
      </c>
      <c r="BS760" s="181" t="s">
        <v>267</v>
      </c>
      <c r="BT760" s="181" t="s">
        <v>1659</v>
      </c>
    </row>
    <row r="761" spans="67:72" x14ac:dyDescent="0.3">
      <c r="BO761" s="181" t="s">
        <v>125</v>
      </c>
      <c r="BP761" s="181" t="s">
        <v>1662</v>
      </c>
      <c r="BQ761" s="182">
        <v>45121</v>
      </c>
      <c r="BR761" s="181" t="s">
        <v>701</v>
      </c>
      <c r="BS761" s="181" t="s">
        <v>381</v>
      </c>
      <c r="BT761" s="181" t="s">
        <v>1661</v>
      </c>
    </row>
    <row r="762" spans="67:72" x14ac:dyDescent="0.3">
      <c r="BO762" s="181" t="s">
        <v>125</v>
      </c>
      <c r="BP762" s="181" t="s">
        <v>1923</v>
      </c>
      <c r="BQ762" s="182">
        <v>45230</v>
      </c>
      <c r="BR762" s="181" t="s">
        <v>701</v>
      </c>
      <c r="BS762" s="181" t="s">
        <v>381</v>
      </c>
      <c r="BT762" s="181" t="s">
        <v>1922</v>
      </c>
    </row>
    <row r="763" spans="67:72" x14ac:dyDescent="0.3">
      <c r="BO763" s="181" t="s">
        <v>125</v>
      </c>
      <c r="BP763" s="181" t="s">
        <v>1938</v>
      </c>
      <c r="BQ763" s="182">
        <v>45231</v>
      </c>
      <c r="BR763" s="181" t="s">
        <v>701</v>
      </c>
      <c r="BS763" s="181" t="s">
        <v>381</v>
      </c>
      <c r="BT763" s="181" t="s">
        <v>1937</v>
      </c>
    </row>
    <row r="764" spans="67:72" x14ac:dyDescent="0.3">
      <c r="BO764" s="181" t="s">
        <v>125</v>
      </c>
      <c r="BP764" s="181" t="s">
        <v>1940</v>
      </c>
      <c r="BQ764" s="182">
        <v>45231</v>
      </c>
      <c r="BR764" s="181" t="s">
        <v>701</v>
      </c>
      <c r="BS764" s="181" t="s">
        <v>381</v>
      </c>
      <c r="BT764" s="181" t="s">
        <v>1939</v>
      </c>
    </row>
    <row r="765" spans="67:72" x14ac:dyDescent="0.3">
      <c r="BO765" s="181" t="s">
        <v>125</v>
      </c>
      <c r="BP765" s="181" t="s">
        <v>1344</v>
      </c>
      <c r="BQ765" s="182">
        <v>45001</v>
      </c>
      <c r="BR765" s="181" t="s">
        <v>701</v>
      </c>
      <c r="BS765" s="181" t="s">
        <v>366</v>
      </c>
      <c r="BT765" s="181" t="s">
        <v>1343</v>
      </c>
    </row>
    <row r="766" spans="67:72" x14ac:dyDescent="0.3">
      <c r="BO766" s="181" t="s">
        <v>125</v>
      </c>
      <c r="BP766" s="181" t="s">
        <v>1190</v>
      </c>
      <c r="BQ766" s="182">
        <v>44781</v>
      </c>
      <c r="BR766" s="181" t="s">
        <v>701</v>
      </c>
      <c r="BS766" s="181" t="s">
        <v>267</v>
      </c>
      <c r="BT766" s="181" t="s">
        <v>1189</v>
      </c>
    </row>
    <row r="767" spans="67:72" x14ac:dyDescent="0.3">
      <c r="BO767" s="181" t="s">
        <v>125</v>
      </c>
      <c r="BP767" s="181" t="s">
        <v>1869</v>
      </c>
      <c r="BQ767" s="182">
        <v>45210</v>
      </c>
      <c r="BR767" s="181" t="s">
        <v>701</v>
      </c>
      <c r="BS767" s="181" t="s">
        <v>330</v>
      </c>
      <c r="BT767" s="181" t="s">
        <v>1868</v>
      </c>
    </row>
    <row r="768" spans="67:72" x14ac:dyDescent="0.3">
      <c r="BO768" s="181" t="s">
        <v>125</v>
      </c>
      <c r="BP768" s="181" t="s">
        <v>2044</v>
      </c>
      <c r="BQ768" s="182">
        <v>45258</v>
      </c>
      <c r="BR768" s="181" t="s">
        <v>701</v>
      </c>
      <c r="BS768" s="181" t="s">
        <v>85</v>
      </c>
      <c r="BT768" s="181" t="s">
        <v>2043</v>
      </c>
    </row>
    <row r="769" spans="67:72" x14ac:dyDescent="0.3">
      <c r="BO769" s="181" t="s">
        <v>94</v>
      </c>
      <c r="BP769" s="181" t="s">
        <v>1889</v>
      </c>
      <c r="BQ769" s="182">
        <v>45215</v>
      </c>
      <c r="BR769" s="181" t="s">
        <v>701</v>
      </c>
      <c r="BS769" s="181" t="s">
        <v>887</v>
      </c>
      <c r="BT769" s="181" t="s">
        <v>1888</v>
      </c>
    </row>
    <row r="770" spans="67:72" x14ac:dyDescent="0.3">
      <c r="BO770" s="181" t="s">
        <v>94</v>
      </c>
      <c r="BP770" s="181" t="s">
        <v>767</v>
      </c>
      <c r="BQ770" s="182">
        <v>42674</v>
      </c>
      <c r="BR770" s="181" t="s">
        <v>701</v>
      </c>
      <c r="BS770" s="181" t="s">
        <v>698</v>
      </c>
      <c r="BT770" s="181" t="s">
        <v>768</v>
      </c>
    </row>
    <row r="771" spans="67:72" x14ac:dyDescent="0.3">
      <c r="BO771" s="181" t="s">
        <v>94</v>
      </c>
      <c r="BP771" s="181" t="s">
        <v>1694</v>
      </c>
      <c r="BQ771" s="182">
        <v>45134</v>
      </c>
      <c r="BR771" s="181" t="s">
        <v>769</v>
      </c>
      <c r="BS771" s="181" t="s">
        <v>115</v>
      </c>
      <c r="BT771" s="181" t="s">
        <v>1693</v>
      </c>
    </row>
    <row r="772" spans="67:72" x14ac:dyDescent="0.3">
      <c r="BO772" s="181" t="s">
        <v>94</v>
      </c>
      <c r="BP772" s="181" t="s">
        <v>1884</v>
      </c>
      <c r="BQ772" s="182">
        <v>45272</v>
      </c>
      <c r="BR772" s="181" t="s">
        <v>769</v>
      </c>
      <c r="BS772" s="181" t="s">
        <v>1581</v>
      </c>
      <c r="BT772" s="181" t="s">
        <v>2091</v>
      </c>
    </row>
    <row r="773" spans="67:72" x14ac:dyDescent="0.3">
      <c r="BO773" s="181" t="s">
        <v>94</v>
      </c>
      <c r="BP773" s="181" t="s">
        <v>1727</v>
      </c>
      <c r="BQ773" s="182">
        <v>45160</v>
      </c>
      <c r="BR773" s="181" t="s">
        <v>769</v>
      </c>
      <c r="BS773" s="181" t="s">
        <v>205</v>
      </c>
      <c r="BT773" s="181" t="s">
        <v>1726</v>
      </c>
    </row>
    <row r="774" spans="67:72" x14ac:dyDescent="0.3">
      <c r="BO774" s="181" t="s">
        <v>94</v>
      </c>
      <c r="BP774" s="181" t="s">
        <v>1966</v>
      </c>
      <c r="BQ774" s="182">
        <v>45239</v>
      </c>
      <c r="BR774" s="181" t="s">
        <v>769</v>
      </c>
      <c r="BS774" s="181" t="s">
        <v>1090</v>
      </c>
      <c r="BT774" s="181" t="s">
        <v>1965</v>
      </c>
    </row>
    <row r="775" spans="67:72" x14ac:dyDescent="0.3">
      <c r="BO775" s="181" t="s">
        <v>94</v>
      </c>
      <c r="BP775" s="181" t="s">
        <v>1422</v>
      </c>
      <c r="BQ775" s="182">
        <v>44998</v>
      </c>
      <c r="BR775" s="181" t="s">
        <v>769</v>
      </c>
      <c r="BS775" s="181" t="s">
        <v>1423</v>
      </c>
      <c r="BT775" s="181" t="s">
        <v>1421</v>
      </c>
    </row>
    <row r="776" spans="67:72" x14ac:dyDescent="0.3">
      <c r="BO776" s="181" t="s">
        <v>94</v>
      </c>
      <c r="BP776" s="181" t="s">
        <v>1425</v>
      </c>
      <c r="BQ776" s="182">
        <v>45007</v>
      </c>
      <c r="BR776" s="181" t="s">
        <v>769</v>
      </c>
      <c r="BS776" s="181" t="s">
        <v>770</v>
      </c>
      <c r="BT776" s="181" t="s">
        <v>1424</v>
      </c>
    </row>
    <row r="777" spans="67:72" x14ac:dyDescent="0.3">
      <c r="BO777" s="181" t="s">
        <v>94</v>
      </c>
      <c r="BP777" s="181" t="s">
        <v>956</v>
      </c>
      <c r="BQ777" s="182">
        <v>45083</v>
      </c>
      <c r="BR777" s="181" t="s">
        <v>769</v>
      </c>
      <c r="BS777" s="181" t="s">
        <v>252</v>
      </c>
      <c r="BT777" s="181" t="s">
        <v>1546</v>
      </c>
    </row>
    <row r="778" spans="67:72" x14ac:dyDescent="0.3">
      <c r="BO778" s="181" t="s">
        <v>94</v>
      </c>
      <c r="BP778" s="181" t="s">
        <v>1548</v>
      </c>
      <c r="BQ778" s="182">
        <v>45093</v>
      </c>
      <c r="BR778" s="181" t="s">
        <v>769</v>
      </c>
      <c r="BS778" s="181" t="s">
        <v>252</v>
      </c>
      <c r="BT778" s="181" t="s">
        <v>1547</v>
      </c>
    </row>
    <row r="779" spans="67:72" x14ac:dyDescent="0.3">
      <c r="BO779" s="181" t="s">
        <v>94</v>
      </c>
      <c r="BP779" s="181" t="s">
        <v>1697</v>
      </c>
      <c r="BQ779" s="182">
        <v>45139</v>
      </c>
      <c r="BR779" s="181" t="s">
        <v>769</v>
      </c>
      <c r="BS779" s="181" t="s">
        <v>173</v>
      </c>
      <c r="BT779" s="181" t="s">
        <v>1696</v>
      </c>
    </row>
    <row r="780" spans="67:72" x14ac:dyDescent="0.3">
      <c r="BO780" s="181" t="s">
        <v>94</v>
      </c>
      <c r="BP780" s="181" t="s">
        <v>1729</v>
      </c>
      <c r="BQ780" s="182">
        <v>45156</v>
      </c>
      <c r="BR780" s="181" t="s">
        <v>769</v>
      </c>
      <c r="BS780" s="181" t="s">
        <v>205</v>
      </c>
      <c r="BT780" s="181" t="s">
        <v>1728</v>
      </c>
    </row>
    <row r="781" spans="67:72" x14ac:dyDescent="0.3">
      <c r="BO781" s="181" t="s">
        <v>94</v>
      </c>
      <c r="BP781" s="181" t="s">
        <v>1775</v>
      </c>
      <c r="BQ781" s="182">
        <v>45160</v>
      </c>
      <c r="BR781" s="181" t="s">
        <v>769</v>
      </c>
      <c r="BS781" s="181" t="s">
        <v>1686</v>
      </c>
      <c r="BT781" s="181" t="s">
        <v>1774</v>
      </c>
    </row>
    <row r="782" spans="67:72" x14ac:dyDescent="0.3">
      <c r="BO782" s="181" t="s">
        <v>94</v>
      </c>
      <c r="BP782" s="181" t="s">
        <v>1777</v>
      </c>
      <c r="BQ782" s="182">
        <v>45174</v>
      </c>
      <c r="BR782" s="181" t="s">
        <v>769</v>
      </c>
      <c r="BS782" s="181" t="s">
        <v>1778</v>
      </c>
      <c r="BT782" s="181" t="s">
        <v>1776</v>
      </c>
    </row>
    <row r="783" spans="67:72" x14ac:dyDescent="0.3">
      <c r="BO783" s="181" t="s">
        <v>94</v>
      </c>
      <c r="BP783" s="181" t="s">
        <v>1798</v>
      </c>
      <c r="BQ783" s="182">
        <v>45194</v>
      </c>
      <c r="BR783" s="181" t="s">
        <v>769</v>
      </c>
      <c r="BS783" s="181" t="s">
        <v>1695</v>
      </c>
      <c r="BT783" s="181" t="s">
        <v>1797</v>
      </c>
    </row>
    <row r="784" spans="67:72" x14ac:dyDescent="0.3">
      <c r="BO784" s="181" t="s">
        <v>94</v>
      </c>
      <c r="BP784" s="181" t="s">
        <v>1891</v>
      </c>
      <c r="BQ784" s="182">
        <v>45202</v>
      </c>
      <c r="BR784" s="181" t="s">
        <v>769</v>
      </c>
      <c r="BS784" s="181" t="s">
        <v>321</v>
      </c>
      <c r="BT784" s="181" t="s">
        <v>1890</v>
      </c>
    </row>
    <row r="785" spans="67:72" x14ac:dyDescent="0.3">
      <c r="BO785" s="181" t="s">
        <v>94</v>
      </c>
      <c r="BP785" s="181" t="s">
        <v>1893</v>
      </c>
      <c r="BQ785" s="182">
        <v>45209</v>
      </c>
      <c r="BR785" s="181" t="s">
        <v>769</v>
      </c>
      <c r="BS785" s="181" t="s">
        <v>1894</v>
      </c>
      <c r="BT785" s="181" t="s">
        <v>1892</v>
      </c>
    </row>
    <row r="786" spans="67:72" x14ac:dyDescent="0.3">
      <c r="BO786" s="181" t="s">
        <v>114</v>
      </c>
      <c r="BP786" s="181" t="s">
        <v>1844</v>
      </c>
      <c r="BQ786" s="182">
        <v>45210</v>
      </c>
      <c r="BR786" s="181" t="s">
        <v>769</v>
      </c>
      <c r="BS786" s="181" t="s">
        <v>1845</v>
      </c>
      <c r="BT786" s="181" t="s">
        <v>1843</v>
      </c>
    </row>
    <row r="787" spans="67:72" x14ac:dyDescent="0.3">
      <c r="BO787" s="181" t="s">
        <v>94</v>
      </c>
      <c r="BP787" s="181" t="s">
        <v>1896</v>
      </c>
      <c r="BQ787" s="182">
        <v>45210</v>
      </c>
      <c r="BR787" s="181" t="s">
        <v>769</v>
      </c>
      <c r="BS787" s="181" t="s">
        <v>770</v>
      </c>
      <c r="BT787" s="181" t="s">
        <v>1895</v>
      </c>
    </row>
    <row r="788" spans="67:72" x14ac:dyDescent="0.3">
      <c r="BO788" s="181" t="s">
        <v>94</v>
      </c>
      <c r="BP788" s="181" t="s">
        <v>1898</v>
      </c>
      <c r="BQ788" s="182">
        <v>45218</v>
      </c>
      <c r="BR788" s="181" t="s">
        <v>769</v>
      </c>
      <c r="BS788" s="181" t="s">
        <v>205</v>
      </c>
      <c r="BT788" s="181" t="s">
        <v>1897</v>
      </c>
    </row>
    <row r="789" spans="67:72" x14ac:dyDescent="0.3">
      <c r="BO789" s="181" t="s">
        <v>94</v>
      </c>
      <c r="BP789" s="181" t="s">
        <v>1930</v>
      </c>
      <c r="BQ789" s="182">
        <v>45222</v>
      </c>
      <c r="BR789" s="181" t="s">
        <v>769</v>
      </c>
      <c r="BS789" s="181" t="s">
        <v>1737</v>
      </c>
      <c r="BT789" s="181" t="s">
        <v>1929</v>
      </c>
    </row>
    <row r="790" spans="67:72" x14ac:dyDescent="0.3">
      <c r="BO790" s="181" t="s">
        <v>94</v>
      </c>
      <c r="BP790" s="181" t="s">
        <v>1943</v>
      </c>
      <c r="BQ790" s="182">
        <v>45232</v>
      </c>
      <c r="BR790" s="181" t="s">
        <v>769</v>
      </c>
      <c r="BS790" s="181" t="s">
        <v>205</v>
      </c>
      <c r="BT790" s="181" t="s">
        <v>1942</v>
      </c>
    </row>
    <row r="791" spans="67:72" x14ac:dyDescent="0.3">
      <c r="BO791" s="181" t="s">
        <v>94</v>
      </c>
      <c r="BP791" s="181" t="s">
        <v>1968</v>
      </c>
      <c r="BQ791" s="182">
        <v>45237</v>
      </c>
      <c r="BR791" s="181" t="s">
        <v>769</v>
      </c>
      <c r="BS791" s="181" t="s">
        <v>240</v>
      </c>
      <c r="BT791" s="181" t="s">
        <v>1967</v>
      </c>
    </row>
    <row r="792" spans="67:72" x14ac:dyDescent="0.3">
      <c r="BO792" s="181" t="s">
        <v>94</v>
      </c>
      <c r="BP792" s="181" t="s">
        <v>1970</v>
      </c>
      <c r="BQ792" s="182">
        <v>45238</v>
      </c>
      <c r="BR792" s="181" t="s">
        <v>769</v>
      </c>
      <c r="BS792" s="181" t="s">
        <v>694</v>
      </c>
      <c r="BT792" s="181" t="s">
        <v>1969</v>
      </c>
    </row>
    <row r="793" spans="67:72" x14ac:dyDescent="0.3">
      <c r="BO793" s="181" t="s">
        <v>94</v>
      </c>
      <c r="BP793" s="181" t="s">
        <v>2084</v>
      </c>
      <c r="BQ793" s="182">
        <v>45271</v>
      </c>
      <c r="BR793" s="181" t="s">
        <v>769</v>
      </c>
      <c r="BS793" s="181" t="s">
        <v>1495</v>
      </c>
      <c r="BT793" s="181" t="s">
        <v>2083</v>
      </c>
    </row>
    <row r="794" spans="67:72" x14ac:dyDescent="0.3">
      <c r="BO794" s="181" t="s">
        <v>94</v>
      </c>
      <c r="BP794" s="181" t="s">
        <v>2093</v>
      </c>
      <c r="BQ794" s="182">
        <v>45272</v>
      </c>
      <c r="BR794" s="181" t="s">
        <v>769</v>
      </c>
      <c r="BS794" s="181" t="s">
        <v>2094</v>
      </c>
      <c r="BT794" s="181" t="s">
        <v>2092</v>
      </c>
    </row>
    <row r="795" spans="67:72" x14ac:dyDescent="0.3">
      <c r="BO795" s="181" t="s">
        <v>94</v>
      </c>
      <c r="BP795" s="181" t="s">
        <v>2138</v>
      </c>
      <c r="BQ795" s="182">
        <v>45300</v>
      </c>
      <c r="BR795" s="181" t="s">
        <v>769</v>
      </c>
      <c r="BS795" s="181" t="s">
        <v>2139</v>
      </c>
      <c r="BT795" s="181" t="s">
        <v>2137</v>
      </c>
    </row>
    <row r="796" spans="67:72" x14ac:dyDescent="0.3">
      <c r="BO796" s="181" t="s">
        <v>94</v>
      </c>
      <c r="BP796" s="181" t="s">
        <v>956</v>
      </c>
      <c r="BQ796" s="182">
        <v>45070</v>
      </c>
      <c r="BR796" s="181" t="s">
        <v>769</v>
      </c>
      <c r="BS796" s="181" t="s">
        <v>1242</v>
      </c>
      <c r="BT796" s="181" t="s">
        <v>1549</v>
      </c>
    </row>
    <row r="797" spans="67:72" x14ac:dyDescent="0.3">
      <c r="BO797" s="181" t="s">
        <v>94</v>
      </c>
      <c r="BP797" s="181" t="s">
        <v>2126</v>
      </c>
      <c r="BQ797" s="182">
        <v>45294</v>
      </c>
      <c r="BR797" s="181" t="s">
        <v>771</v>
      </c>
      <c r="BS797" s="181" t="s">
        <v>205</v>
      </c>
      <c r="BT797" s="181" t="s">
        <v>2125</v>
      </c>
    </row>
    <row r="798" spans="67:72" x14ac:dyDescent="0.3">
      <c r="BO798" s="181" t="s">
        <v>114</v>
      </c>
      <c r="BP798" s="181" t="s">
        <v>1309</v>
      </c>
      <c r="BQ798" s="182">
        <v>45030</v>
      </c>
      <c r="BR798" s="181" t="s">
        <v>771</v>
      </c>
      <c r="BS798" s="181" t="s">
        <v>683</v>
      </c>
      <c r="BT798" s="181" t="s">
        <v>1308</v>
      </c>
    </row>
    <row r="799" spans="67:72" x14ac:dyDescent="0.3">
      <c r="BO799" s="181" t="s">
        <v>94</v>
      </c>
      <c r="BP799" s="181" t="s">
        <v>1427</v>
      </c>
      <c r="BQ799" s="182">
        <v>44937</v>
      </c>
      <c r="BR799" s="181" t="s">
        <v>771</v>
      </c>
      <c r="BS799" s="181" t="s">
        <v>205</v>
      </c>
      <c r="BT799" s="181" t="s">
        <v>1426</v>
      </c>
    </row>
    <row r="800" spans="67:72" x14ac:dyDescent="0.3">
      <c r="BO800" s="181" t="s">
        <v>114</v>
      </c>
      <c r="BP800" s="181" t="s">
        <v>1145</v>
      </c>
      <c r="BQ800" s="182">
        <v>45225</v>
      </c>
      <c r="BR800" s="181" t="s">
        <v>771</v>
      </c>
      <c r="BS800" s="181" t="s">
        <v>1737</v>
      </c>
      <c r="BT800" s="181" t="s">
        <v>1906</v>
      </c>
    </row>
    <row r="801" spans="67:72" x14ac:dyDescent="0.3">
      <c r="BO801" s="181" t="s">
        <v>114</v>
      </c>
      <c r="BP801" s="181" t="s">
        <v>1594</v>
      </c>
      <c r="BQ801" s="182">
        <v>45134</v>
      </c>
      <c r="BR801" s="181" t="s">
        <v>771</v>
      </c>
      <c r="BS801" s="181" t="s">
        <v>205</v>
      </c>
      <c r="BT801" s="181" t="s">
        <v>1593</v>
      </c>
    </row>
    <row r="802" spans="67:72" x14ac:dyDescent="0.3">
      <c r="BO802" s="181" t="s">
        <v>94</v>
      </c>
      <c r="BP802" s="181" t="s">
        <v>1256</v>
      </c>
      <c r="BQ802" s="182">
        <v>44845</v>
      </c>
      <c r="BR802" s="181" t="s">
        <v>771</v>
      </c>
      <c r="BS802" s="181" t="s">
        <v>205</v>
      </c>
      <c r="BT802" s="181" t="s">
        <v>1255</v>
      </c>
    </row>
    <row r="803" spans="67:72" x14ac:dyDescent="0.3">
      <c r="BO803" s="181" t="s">
        <v>114</v>
      </c>
      <c r="BP803" s="181" t="s">
        <v>1817</v>
      </c>
      <c r="BQ803" s="182">
        <v>45198</v>
      </c>
      <c r="BR803" s="181" t="s">
        <v>771</v>
      </c>
      <c r="BS803" s="181" t="s">
        <v>344</v>
      </c>
      <c r="BT803" s="181" t="s">
        <v>1816</v>
      </c>
    </row>
    <row r="804" spans="67:72" x14ac:dyDescent="0.3">
      <c r="BO804" s="181" t="s">
        <v>114</v>
      </c>
      <c r="BP804" s="181" t="s">
        <v>772</v>
      </c>
      <c r="BQ804" s="182">
        <v>43851</v>
      </c>
      <c r="BR804" s="181" t="s">
        <v>771</v>
      </c>
      <c r="BS804" s="181" t="s">
        <v>344</v>
      </c>
      <c r="BT804" s="181" t="s">
        <v>773</v>
      </c>
    </row>
    <row r="805" spans="67:72" x14ac:dyDescent="0.3">
      <c r="BO805" s="181" t="s">
        <v>114</v>
      </c>
      <c r="BP805" s="181" t="s">
        <v>1434</v>
      </c>
      <c r="BQ805" s="182">
        <v>45033</v>
      </c>
      <c r="BR805" s="181" t="s">
        <v>771</v>
      </c>
      <c r="BS805" s="181" t="s">
        <v>205</v>
      </c>
      <c r="BT805" s="181" t="s">
        <v>1433</v>
      </c>
    </row>
    <row r="806" spans="67:72" x14ac:dyDescent="0.3">
      <c r="BO806" s="181" t="s">
        <v>114</v>
      </c>
      <c r="BP806" s="181" t="s">
        <v>970</v>
      </c>
      <c r="BQ806" s="182">
        <v>44655</v>
      </c>
      <c r="BR806" s="181" t="s">
        <v>771</v>
      </c>
      <c r="BS806" s="181" t="s">
        <v>344</v>
      </c>
      <c r="BT806" s="181" t="s">
        <v>969</v>
      </c>
    </row>
    <row r="807" spans="67:72" x14ac:dyDescent="0.3">
      <c r="BO807" s="181" t="s">
        <v>114</v>
      </c>
      <c r="BP807" s="181" t="s">
        <v>994</v>
      </c>
      <c r="BQ807" s="182">
        <v>44673</v>
      </c>
      <c r="BR807" s="181" t="s">
        <v>771</v>
      </c>
      <c r="BS807" s="181" t="s">
        <v>992</v>
      </c>
      <c r="BT807" s="181" t="s">
        <v>993</v>
      </c>
    </row>
    <row r="808" spans="67:72" x14ac:dyDescent="0.3">
      <c r="BO808" s="181" t="s">
        <v>114</v>
      </c>
      <c r="BP808" s="181" t="s">
        <v>1143</v>
      </c>
      <c r="BQ808" s="182">
        <v>44810</v>
      </c>
      <c r="BR808" s="181" t="s">
        <v>771</v>
      </c>
      <c r="BS808" s="181" t="s">
        <v>400</v>
      </c>
      <c r="BT808" s="181" t="s">
        <v>1142</v>
      </c>
    </row>
    <row r="809" spans="67:72" x14ac:dyDescent="0.3">
      <c r="BO809" s="181" t="s">
        <v>114</v>
      </c>
      <c r="BP809" s="181" t="s">
        <v>1958</v>
      </c>
      <c r="BQ809" s="182">
        <v>45238</v>
      </c>
      <c r="BR809" s="181" t="s">
        <v>771</v>
      </c>
      <c r="BS809" s="181" t="s">
        <v>400</v>
      </c>
      <c r="BT809" s="181" t="s">
        <v>1957</v>
      </c>
    </row>
    <row r="810" spans="67:72" x14ac:dyDescent="0.3">
      <c r="BO810" s="181" t="s">
        <v>114</v>
      </c>
      <c r="BP810" s="181" t="s">
        <v>1145</v>
      </c>
      <c r="BQ810" s="182">
        <v>44795</v>
      </c>
      <c r="BR810" s="181" t="s">
        <v>771</v>
      </c>
      <c r="BS810" s="181" t="s">
        <v>205</v>
      </c>
      <c r="BT810" s="181" t="s">
        <v>1144</v>
      </c>
    </row>
    <row r="811" spans="67:72" x14ac:dyDescent="0.3">
      <c r="BO811" s="181" t="s">
        <v>114</v>
      </c>
      <c r="BP811" s="181" t="s">
        <v>1147</v>
      </c>
      <c r="BQ811" s="182">
        <v>44697</v>
      </c>
      <c r="BR811" s="181" t="s">
        <v>771</v>
      </c>
      <c r="BS811" s="181" t="s">
        <v>1131</v>
      </c>
      <c r="BT811" s="181" t="s">
        <v>1146</v>
      </c>
    </row>
    <row r="812" spans="67:72" x14ac:dyDescent="0.3">
      <c r="BO812" s="181" t="s">
        <v>114</v>
      </c>
      <c r="BP812" s="181" t="s">
        <v>1311</v>
      </c>
      <c r="BQ812" s="182">
        <v>44987</v>
      </c>
      <c r="BR812" s="181" t="s">
        <v>771</v>
      </c>
      <c r="BS812" s="181" t="s">
        <v>1138</v>
      </c>
      <c r="BT812" s="181" t="s">
        <v>1310</v>
      </c>
    </row>
    <row r="813" spans="67:72" x14ac:dyDescent="0.3">
      <c r="BO813" s="181" t="s">
        <v>114</v>
      </c>
      <c r="BP813" s="181" t="s">
        <v>1313</v>
      </c>
      <c r="BQ813" s="182">
        <v>44980</v>
      </c>
      <c r="BR813" s="181" t="s">
        <v>771</v>
      </c>
      <c r="BS813" s="181" t="s">
        <v>1138</v>
      </c>
      <c r="BT813" s="181" t="s">
        <v>1312</v>
      </c>
    </row>
    <row r="814" spans="67:72" x14ac:dyDescent="0.3">
      <c r="BO814" s="181" t="s">
        <v>114</v>
      </c>
      <c r="BP814" s="181" t="s">
        <v>235</v>
      </c>
      <c r="BQ814" s="182">
        <v>44831</v>
      </c>
      <c r="BR814" s="181" t="s">
        <v>771</v>
      </c>
      <c r="BS814" s="181" t="s">
        <v>170</v>
      </c>
      <c r="BT814" s="181" t="s">
        <v>1148</v>
      </c>
    </row>
    <row r="815" spans="67:72" x14ac:dyDescent="0.3">
      <c r="BO815" s="181" t="s">
        <v>114</v>
      </c>
      <c r="BP815" s="181" t="s">
        <v>1510</v>
      </c>
      <c r="BQ815" s="182">
        <v>45091</v>
      </c>
      <c r="BR815" s="181" t="s">
        <v>771</v>
      </c>
      <c r="BS815" s="181" t="s">
        <v>205</v>
      </c>
      <c r="BT815" s="181" t="s">
        <v>1509</v>
      </c>
    </row>
    <row r="816" spans="67:72" x14ac:dyDescent="0.3">
      <c r="BO816" s="181" t="s">
        <v>114</v>
      </c>
      <c r="BP816" s="181" t="s">
        <v>1145</v>
      </c>
      <c r="BQ816" s="182">
        <v>44936</v>
      </c>
      <c r="BR816" s="181" t="s">
        <v>771</v>
      </c>
      <c r="BS816" s="181" t="s">
        <v>205</v>
      </c>
      <c r="BT816" s="181" t="s">
        <v>1314</v>
      </c>
    </row>
    <row r="817" spans="67:72" x14ac:dyDescent="0.3">
      <c r="BO817" s="181" t="s">
        <v>114</v>
      </c>
      <c r="BP817" s="181" t="s">
        <v>1805</v>
      </c>
      <c r="BQ817" s="182">
        <v>45195</v>
      </c>
      <c r="BR817" s="181" t="s">
        <v>771</v>
      </c>
      <c r="BS817" s="181" t="s">
        <v>694</v>
      </c>
      <c r="BT817" s="181" t="s">
        <v>1804</v>
      </c>
    </row>
    <row r="818" spans="67:72" x14ac:dyDescent="0.3">
      <c r="BO818" s="181" t="s">
        <v>114</v>
      </c>
      <c r="BP818" s="181" t="s">
        <v>1991</v>
      </c>
      <c r="BQ818" s="182">
        <v>45252</v>
      </c>
      <c r="BR818" s="181" t="s">
        <v>771</v>
      </c>
      <c r="BS818" s="181" t="s">
        <v>1581</v>
      </c>
      <c r="BT818" s="181" t="s">
        <v>1990</v>
      </c>
    </row>
    <row r="819" spans="67:72" x14ac:dyDescent="0.3">
      <c r="BO819" s="181" t="s">
        <v>114</v>
      </c>
      <c r="BP819" s="181" t="s">
        <v>1908</v>
      </c>
      <c r="BQ819" s="182">
        <v>45222</v>
      </c>
      <c r="BR819" s="181" t="s">
        <v>771</v>
      </c>
      <c r="BS819" s="181" t="s">
        <v>187</v>
      </c>
      <c r="BT819" s="181" t="s">
        <v>1907</v>
      </c>
    </row>
    <row r="820" spans="67:72" x14ac:dyDescent="0.3">
      <c r="BO820" s="181" t="s">
        <v>125</v>
      </c>
      <c r="BP820" s="181" t="s">
        <v>775</v>
      </c>
      <c r="BQ820" s="182">
        <v>43004</v>
      </c>
      <c r="BR820" s="181" t="s">
        <v>774</v>
      </c>
      <c r="BS820" s="181" t="s">
        <v>776</v>
      </c>
      <c r="BT820" s="181" t="s">
        <v>777</v>
      </c>
    </row>
    <row r="821" spans="67:72" x14ac:dyDescent="0.3">
      <c r="BO821" s="187" t="s">
        <v>125</v>
      </c>
      <c r="BP821" s="187" t="s">
        <v>778</v>
      </c>
      <c r="BQ821" s="188">
        <v>43796</v>
      </c>
      <c r="BR821" s="187" t="s">
        <v>774</v>
      </c>
      <c r="BS821" s="187" t="s">
        <v>330</v>
      </c>
      <c r="BT821" s="187" t="s">
        <v>779</v>
      </c>
    </row>
    <row r="822" spans="67:72" x14ac:dyDescent="0.3">
      <c r="BO822" s="187" t="s">
        <v>125</v>
      </c>
      <c r="BP822" s="187" t="s">
        <v>780</v>
      </c>
      <c r="BQ822" s="188">
        <v>42996</v>
      </c>
      <c r="BR822" s="187" t="s">
        <v>774</v>
      </c>
      <c r="BS822" s="187" t="s">
        <v>1113</v>
      </c>
      <c r="BT822" s="187" t="s">
        <v>781</v>
      </c>
    </row>
    <row r="823" spans="67:72" x14ac:dyDescent="0.3">
      <c r="BO823" s="53" t="s">
        <v>125</v>
      </c>
      <c r="BP823" s="53" t="s">
        <v>782</v>
      </c>
      <c r="BQ823" s="54">
        <v>43690</v>
      </c>
      <c r="BR823" s="53" t="s">
        <v>774</v>
      </c>
      <c r="BS823" s="53" t="s">
        <v>732</v>
      </c>
      <c r="BT823" s="53" t="s">
        <v>783</v>
      </c>
    </row>
    <row r="824" spans="67:72" x14ac:dyDescent="0.3">
      <c r="BO824" s="53" t="s">
        <v>125</v>
      </c>
      <c r="BP824" s="53" t="s">
        <v>784</v>
      </c>
      <c r="BQ824" s="54">
        <v>43735</v>
      </c>
      <c r="BR824" s="53" t="s">
        <v>774</v>
      </c>
      <c r="BS824" s="53" t="s">
        <v>330</v>
      </c>
      <c r="BT824" s="53" t="s">
        <v>785</v>
      </c>
    </row>
    <row r="825" spans="67:72" x14ac:dyDescent="0.3">
      <c r="BO825" s="53" t="s">
        <v>125</v>
      </c>
      <c r="BP825" s="53" t="s">
        <v>786</v>
      </c>
      <c r="BQ825" s="54">
        <v>43735</v>
      </c>
      <c r="BR825" s="53" t="s">
        <v>774</v>
      </c>
      <c r="BS825" s="53" t="s">
        <v>330</v>
      </c>
      <c r="BT825" s="53" t="s">
        <v>787</v>
      </c>
    </row>
    <row r="826" spans="67:72" x14ac:dyDescent="0.3">
      <c r="BO826" s="53" t="s">
        <v>125</v>
      </c>
      <c r="BP826" s="53" t="s">
        <v>788</v>
      </c>
      <c r="BQ826" s="54">
        <v>44048</v>
      </c>
      <c r="BR826" s="53" t="s">
        <v>774</v>
      </c>
      <c r="BS826" s="53" t="s">
        <v>330</v>
      </c>
      <c r="BT826" s="53" t="s">
        <v>789</v>
      </c>
    </row>
    <row r="827" spans="67:72" x14ac:dyDescent="0.3">
      <c r="BO827" s="53" t="s">
        <v>125</v>
      </c>
      <c r="BP827" s="53" t="s">
        <v>1192</v>
      </c>
      <c r="BQ827" s="54">
        <v>44910</v>
      </c>
      <c r="BR827" s="53" t="s">
        <v>774</v>
      </c>
      <c r="BS827" s="53" t="s">
        <v>1113</v>
      </c>
      <c r="BT827" s="53" t="s">
        <v>1191</v>
      </c>
    </row>
    <row r="828" spans="67:72" x14ac:dyDescent="0.3">
      <c r="BO828" s="53" t="s">
        <v>125</v>
      </c>
      <c r="BP828" s="53" t="s">
        <v>1346</v>
      </c>
      <c r="BQ828" s="54">
        <v>44929</v>
      </c>
      <c r="BR828" s="53" t="s">
        <v>774</v>
      </c>
      <c r="BS828" s="53" t="s">
        <v>360</v>
      </c>
      <c r="BT828" s="53" t="s">
        <v>1345</v>
      </c>
    </row>
    <row r="829" spans="67:72" x14ac:dyDescent="0.3">
      <c r="BO829" s="53" t="s">
        <v>125</v>
      </c>
      <c r="BP829" s="53" t="s">
        <v>1347</v>
      </c>
      <c r="BQ829" s="54">
        <v>44784</v>
      </c>
      <c r="BR829" s="53" t="s">
        <v>774</v>
      </c>
      <c r="BS829" s="53" t="s">
        <v>381</v>
      </c>
      <c r="BT829" s="53" t="s">
        <v>1193</v>
      </c>
    </row>
    <row r="830" spans="67:72" x14ac:dyDescent="0.3">
      <c r="BO830" s="53" t="s">
        <v>125</v>
      </c>
      <c r="BP830" s="53" t="s">
        <v>1724</v>
      </c>
      <c r="BQ830" s="54">
        <v>45042</v>
      </c>
      <c r="BR830" s="53" t="s">
        <v>774</v>
      </c>
      <c r="BS830" s="53" t="s">
        <v>381</v>
      </c>
      <c r="BT830" s="53" t="s">
        <v>1453</v>
      </c>
    </row>
    <row r="831" spans="67:72" x14ac:dyDescent="0.3">
      <c r="BO831" s="53" t="s">
        <v>125</v>
      </c>
      <c r="BP831" s="53" t="s">
        <v>1522</v>
      </c>
      <c r="BQ831" s="54">
        <v>45092</v>
      </c>
      <c r="BR831" s="53" t="s">
        <v>774</v>
      </c>
      <c r="BS831" s="53" t="s">
        <v>381</v>
      </c>
      <c r="BT831" s="53" t="s">
        <v>1521</v>
      </c>
    </row>
    <row r="832" spans="67:72" x14ac:dyDescent="0.3">
      <c r="BO832" s="201" t="s">
        <v>125</v>
      </c>
      <c r="BP832" s="201" t="s">
        <v>1454</v>
      </c>
      <c r="BQ832" s="202">
        <v>45160</v>
      </c>
      <c r="BR832" s="201" t="s">
        <v>774</v>
      </c>
      <c r="BS832" s="201" t="s">
        <v>381</v>
      </c>
      <c r="BT832" s="201" t="s">
        <v>1725</v>
      </c>
    </row>
    <row r="833" spans="67:72" x14ac:dyDescent="0.3">
      <c r="BO833" s="201" t="s">
        <v>125</v>
      </c>
      <c r="BP833" s="201" t="s">
        <v>1756</v>
      </c>
      <c r="BQ833" s="202">
        <v>45169</v>
      </c>
      <c r="BR833" s="201" t="s">
        <v>774</v>
      </c>
      <c r="BS833" s="201" t="s">
        <v>381</v>
      </c>
      <c r="BT833" s="201" t="s">
        <v>1755</v>
      </c>
    </row>
    <row r="834" spans="67:72" x14ac:dyDescent="0.3">
      <c r="BO834" s="201" t="s">
        <v>266</v>
      </c>
      <c r="BP834" s="201" t="s">
        <v>1213</v>
      </c>
      <c r="BQ834" s="202">
        <v>44796</v>
      </c>
      <c r="BR834" s="201" t="s">
        <v>774</v>
      </c>
      <c r="BS834" s="201" t="s">
        <v>975</v>
      </c>
      <c r="BT834" s="201" t="s">
        <v>1212</v>
      </c>
    </row>
    <row r="835" spans="67:72" x14ac:dyDescent="0.3">
      <c r="BO835" s="201" t="s">
        <v>125</v>
      </c>
      <c r="BP835" s="201" t="s">
        <v>874</v>
      </c>
      <c r="BQ835" s="202">
        <v>44522</v>
      </c>
      <c r="BR835" s="201" t="s">
        <v>774</v>
      </c>
      <c r="BS835" s="201" t="s">
        <v>402</v>
      </c>
      <c r="BT835" s="201" t="s">
        <v>873</v>
      </c>
    </row>
    <row r="836" spans="67:72" x14ac:dyDescent="0.3">
      <c r="BO836" s="201" t="s">
        <v>125</v>
      </c>
      <c r="BP836" s="201" t="s">
        <v>1664</v>
      </c>
      <c r="BQ836" s="202">
        <v>45138</v>
      </c>
      <c r="BR836" s="201" t="s">
        <v>774</v>
      </c>
      <c r="BS836" s="201" t="s">
        <v>351</v>
      </c>
      <c r="BT836" s="201" t="s">
        <v>1663</v>
      </c>
    </row>
    <row r="837" spans="67:72" x14ac:dyDescent="0.3">
      <c r="BO837" s="201" t="s">
        <v>291</v>
      </c>
      <c r="BP837" s="201" t="s">
        <v>1718</v>
      </c>
      <c r="BQ837" s="202">
        <v>45154</v>
      </c>
      <c r="BR837" s="201" t="s">
        <v>774</v>
      </c>
      <c r="BS837" s="201" t="s">
        <v>328</v>
      </c>
      <c r="BT837" s="201" t="s">
        <v>1717</v>
      </c>
    </row>
    <row r="838" spans="67:72" x14ac:dyDescent="0.3">
      <c r="BO838" s="201" t="s">
        <v>266</v>
      </c>
      <c r="BP838" s="201" t="s">
        <v>1373</v>
      </c>
      <c r="BQ838" s="202">
        <v>44950</v>
      </c>
      <c r="BR838" s="201" t="s">
        <v>774</v>
      </c>
      <c r="BS838" s="201" t="s">
        <v>334</v>
      </c>
      <c r="BT838" s="201" t="s">
        <v>1372</v>
      </c>
    </row>
    <row r="839" spans="67:72" x14ac:dyDescent="0.3">
      <c r="BO839" s="201" t="s">
        <v>266</v>
      </c>
      <c r="BP839" s="201" t="s">
        <v>1790</v>
      </c>
      <c r="BQ839" s="202">
        <v>45194</v>
      </c>
      <c r="BR839" s="201" t="s">
        <v>774</v>
      </c>
      <c r="BS839" s="201" t="s">
        <v>334</v>
      </c>
      <c r="BT839" s="201" t="s">
        <v>1789</v>
      </c>
    </row>
    <row r="840" spans="67:72" x14ac:dyDescent="0.3">
      <c r="BO840" s="201" t="s">
        <v>266</v>
      </c>
      <c r="BP840" s="201" t="s">
        <v>1792</v>
      </c>
      <c r="BQ840" s="202">
        <v>45194</v>
      </c>
      <c r="BR840" s="201" t="s">
        <v>774</v>
      </c>
      <c r="BS840" s="201" t="s">
        <v>334</v>
      </c>
      <c r="BT840" s="201" t="s">
        <v>1791</v>
      </c>
    </row>
    <row r="841" spans="67:72" x14ac:dyDescent="0.3">
      <c r="BO841" s="201" t="s">
        <v>125</v>
      </c>
      <c r="BP841" s="201" t="s">
        <v>1758</v>
      </c>
      <c r="BQ841" s="202">
        <v>45183</v>
      </c>
      <c r="BR841" s="201" t="s">
        <v>774</v>
      </c>
      <c r="BS841" s="201" t="s">
        <v>330</v>
      </c>
      <c r="BT841" s="201" t="s">
        <v>1757</v>
      </c>
    </row>
    <row r="842" spans="67:72" x14ac:dyDescent="0.3">
      <c r="BO842" s="201" t="s">
        <v>125</v>
      </c>
      <c r="BP842" s="201" t="s">
        <v>1871</v>
      </c>
      <c r="BQ842" s="202">
        <v>45215</v>
      </c>
      <c r="BR842" s="201" t="s">
        <v>774</v>
      </c>
      <c r="BS842" s="201" t="s">
        <v>329</v>
      </c>
      <c r="BT842" s="201" t="s">
        <v>1870</v>
      </c>
    </row>
    <row r="843" spans="67:72" x14ac:dyDescent="0.3">
      <c r="BO843" s="201" t="s">
        <v>125</v>
      </c>
      <c r="BP843" s="201" t="s">
        <v>2064</v>
      </c>
      <c r="BQ843" s="202">
        <v>45260</v>
      </c>
      <c r="BR843" s="201" t="s">
        <v>774</v>
      </c>
      <c r="BS843" s="201" t="s">
        <v>329</v>
      </c>
      <c r="BT843" s="201" t="s">
        <v>2063</v>
      </c>
    </row>
  </sheetData>
  <protectedRanges>
    <protectedRange password="C55A" sqref="Q21 G25:X26 M23:O23 M21:P22 L20:X20 R21:X23 H24:X24 H21:K22 I23" name="Hrs"/>
    <protectedRange password="C55A" sqref="P23 L21:L23 Q22:Q23 G20:K20 H23 J23:K23 G21:G24" name="Hrs_1"/>
  </protectedRanges>
  <mergeCells count="61">
    <mergeCell ref="H52:H54"/>
    <mergeCell ref="U8:V8"/>
    <mergeCell ref="BA84:BB84"/>
    <mergeCell ref="V30:X32"/>
    <mergeCell ref="Z28:Z29"/>
    <mergeCell ref="G18:X19"/>
    <mergeCell ref="Y18:Y19"/>
    <mergeCell ref="V28:Y29"/>
    <mergeCell ref="Z18:Z19"/>
    <mergeCell ref="I52:J54"/>
    <mergeCell ref="L12:L16"/>
    <mergeCell ref="M12:M16"/>
    <mergeCell ref="J12:J16"/>
    <mergeCell ref="K12:K16"/>
    <mergeCell ref="Y11:Z12"/>
    <mergeCell ref="Y13:Z13"/>
    <mergeCell ref="B30:C30"/>
    <mergeCell ref="B31:C31"/>
    <mergeCell ref="P28:Q32"/>
    <mergeCell ref="B28:D29"/>
    <mergeCell ref="J28:K32"/>
    <mergeCell ref="B32:C32"/>
    <mergeCell ref="L28:O32"/>
    <mergeCell ref="E28:I32"/>
    <mergeCell ref="B18:B19"/>
    <mergeCell ref="V11:V16"/>
    <mergeCell ref="X11:X16"/>
    <mergeCell ref="W11:W16"/>
    <mergeCell ref="Y14:Z14"/>
    <mergeCell ref="Y15:Z15"/>
    <mergeCell ref="Y16:Z16"/>
    <mergeCell ref="B2:B5"/>
    <mergeCell ref="B12:B16"/>
    <mergeCell ref="I12:I16"/>
    <mergeCell ref="C11:E16"/>
    <mergeCell ref="H12:H16"/>
    <mergeCell ref="F11:F16"/>
    <mergeCell ref="G12:G16"/>
    <mergeCell ref="C6:K6"/>
    <mergeCell ref="C10:F10"/>
    <mergeCell ref="H10:L10"/>
    <mergeCell ref="C4:K4"/>
    <mergeCell ref="C5:F5"/>
    <mergeCell ref="C3:L3"/>
    <mergeCell ref="C2:J2"/>
    <mergeCell ref="R28:U32"/>
    <mergeCell ref="B8:G8"/>
    <mergeCell ref="U10:V10"/>
    <mergeCell ref="S12:S16"/>
    <mergeCell ref="T12:T16"/>
    <mergeCell ref="O12:O16"/>
    <mergeCell ref="Q12:Q16"/>
    <mergeCell ref="U12:U16"/>
    <mergeCell ref="R12:R16"/>
    <mergeCell ref="P12:P16"/>
    <mergeCell ref="N10:O10"/>
    <mergeCell ref="R10:S10"/>
    <mergeCell ref="P10:Q10"/>
    <mergeCell ref="N12:N16"/>
    <mergeCell ref="C18:E18"/>
    <mergeCell ref="F18:F19"/>
  </mergeCells>
  <phoneticPr fontId="0" type="noConversion"/>
  <conditionalFormatting sqref="E20:F26">
    <cfRule type="cellIs" dxfId="15" priority="1" operator="equal">
      <formula>0</formula>
    </cfRule>
  </conditionalFormatting>
  <dataValidations xWindow="500" yWindow="469" count="8">
    <dataValidation type="list" allowBlank="1" showInputMessage="1" showErrorMessage="1" prompt="Please select week commencing date" sqref="R10:S10" xr:uid="{00000000-0002-0000-0000-000000000000}">
      <formula1>WkCom</formula1>
    </dataValidation>
    <dataValidation type="list" allowBlank="1" showInputMessage="1" showErrorMessage="1" sqref="C20:C26" xr:uid="{00000000-0002-0000-0000-000001000000}">
      <formula1>$BC$92:$BC$97</formula1>
    </dataValidation>
    <dataValidation allowBlank="1" showErrorMessage="1" sqref="D20:D26" xr:uid="{00000000-0002-0000-0000-000002000000}"/>
    <dataValidation type="list" allowBlank="1" showInputMessage="1" showErrorMessage="1" error="Select Location from List" prompt="Please Select from the list or Type Location" sqref="G11:U11" xr:uid="{00000000-0002-0000-0000-000003000000}">
      <formula1>Location</formula1>
    </dataValidation>
    <dataValidation allowBlank="1" showInputMessage="1" showErrorMessage="1" promptTitle="Don't Forget!" prompt="- Additional Narrative required for &gt; 4 hours of Admin Per Week._x000a_- Any Booking I180X must have an accompanying bluebook quote reference." sqref="E28" xr:uid="{00000000-0002-0000-0000-000004000000}"/>
    <dataValidation type="list" allowBlank="1" showInputMessage="1" showErrorMessage="1" error="Select Location from List" prompt="Use for O.T.C" sqref="V11:W16" xr:uid="{00000000-0002-0000-0000-000005000000}">
      <formula1>$BN$87:$BN$94</formula1>
    </dataValidation>
    <dataValidation type="list" allowBlank="1" showInputMessage="1" showErrorMessage="1" error="Select Location from List" prompt="For Finance &amp; Admin Staff Only" sqref="X11:X16" xr:uid="{00000000-0002-0000-0000-000006000000}">
      <formula1>$BN$87:$BN$94</formula1>
    </dataValidation>
    <dataValidation type="list" allowBlank="1" showInputMessage="1" showErrorMessage="1" sqref="F20:F26" xr:uid="{00000000-0002-0000-0000-000007000000}">
      <formula1>$BC$98:$BC$104</formula1>
    </dataValidation>
  </dataValidations>
  <printOptions horizontalCentered="1" verticalCentered="1"/>
  <pageMargins left="0.23622047244094491" right="0.23622047244094491" top="0.39370078740157483" bottom="0.31496062992125984" header="0.19685039370078741" footer="0.15748031496062992"/>
  <pageSetup paperSize="9" scale="71" orientation="landscape" blackAndWhite="1" r:id="rId1"/>
  <headerFooter alignWithMargins="0">
    <oddHeader>&amp;R&amp;D &amp;T</oddHeader>
    <oddFooter>&amp;L&amp;Z&amp;F &amp;C  &amp;RTD 028  -  Issue 23</oddFooter>
  </headerFooter>
  <cellWatches>
    <cellWatch r="R10"/>
  </cellWatche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145E-695D-476C-B3C0-C708B0011FFB}">
  <sheetPr>
    <tabColor rgb="FFC00000"/>
  </sheetPr>
  <dimension ref="B1:S25"/>
  <sheetViews>
    <sheetView showGridLines="0" topLeftCell="A2" zoomScale="80" zoomScaleNormal="80" workbookViewId="0">
      <selection activeCell="B8" sqref="B8:R12"/>
    </sheetView>
  </sheetViews>
  <sheetFormatPr defaultRowHeight="13.2" x14ac:dyDescent="0.25"/>
  <cols>
    <col min="1" max="1" width="2.5546875" customWidth="1"/>
    <col min="2" max="2" width="26.88671875" bestFit="1" customWidth="1"/>
    <col min="15" max="15" width="11.5546875" customWidth="1"/>
    <col min="17" max="17" width="11.44140625" customWidth="1"/>
  </cols>
  <sheetData>
    <row r="1" spans="2:19" ht="18.75" hidden="1" customHeight="1" thickBot="1" x14ac:dyDescent="0.3">
      <c r="B1" s="203" t="s">
        <v>2153</v>
      </c>
      <c r="C1" s="204">
        <v>1007</v>
      </c>
      <c r="D1" s="205">
        <v>2007</v>
      </c>
      <c r="E1" s="205">
        <v>3007</v>
      </c>
      <c r="F1" s="205">
        <v>4007</v>
      </c>
      <c r="G1" s="205">
        <v>5007</v>
      </c>
      <c r="H1" s="205">
        <v>6007</v>
      </c>
      <c r="I1" s="205">
        <v>7007</v>
      </c>
      <c r="J1" s="205">
        <v>8007</v>
      </c>
      <c r="K1" s="205">
        <v>9007</v>
      </c>
      <c r="L1" s="205">
        <v>1207</v>
      </c>
      <c r="M1" s="205">
        <v>1307</v>
      </c>
      <c r="N1" s="205"/>
      <c r="O1" s="205">
        <v>1607</v>
      </c>
      <c r="P1" s="205"/>
      <c r="Q1" s="205"/>
      <c r="R1" s="206"/>
    </row>
    <row r="4" spans="2:19" x14ac:dyDescent="0.25">
      <c r="B4" s="207" t="s">
        <v>792</v>
      </c>
      <c r="C4" s="356" t="s">
        <v>2154</v>
      </c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</row>
    <row r="5" spans="2:19" ht="6" customHeight="1" x14ac:dyDescent="0.25"/>
    <row r="6" spans="2:19" x14ac:dyDescent="0.25">
      <c r="B6" s="207" t="s">
        <v>791</v>
      </c>
      <c r="C6" s="356" t="s">
        <v>2155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</row>
    <row r="7" spans="2:19" ht="13.8" thickBot="1" x14ac:dyDescent="0.3"/>
    <row r="8" spans="2:19" ht="43.8" thickBot="1" x14ac:dyDescent="0.3">
      <c r="B8" s="208" t="s">
        <v>2156</v>
      </c>
      <c r="C8" s="209" t="s">
        <v>2157</v>
      </c>
      <c r="D8" s="209" t="s">
        <v>2158</v>
      </c>
      <c r="E8" s="209" t="s">
        <v>2159</v>
      </c>
      <c r="F8" s="209" t="s">
        <v>792</v>
      </c>
      <c r="G8" s="209" t="s">
        <v>791</v>
      </c>
      <c r="H8" s="209" t="s">
        <v>2160</v>
      </c>
      <c r="I8" s="209" t="s">
        <v>2161</v>
      </c>
      <c r="J8" s="209" t="s">
        <v>2162</v>
      </c>
      <c r="K8" s="210" t="s">
        <v>790</v>
      </c>
      <c r="L8" s="209" t="s">
        <v>2163</v>
      </c>
      <c r="M8" s="209" t="s">
        <v>2164</v>
      </c>
      <c r="N8" s="209" t="s">
        <v>2165</v>
      </c>
      <c r="O8" s="209" t="s">
        <v>2166</v>
      </c>
      <c r="P8" s="209" t="s">
        <v>2167</v>
      </c>
      <c r="Q8" s="209" t="s">
        <v>572</v>
      </c>
      <c r="R8" s="211" t="s">
        <v>2168</v>
      </c>
      <c r="S8" s="212"/>
    </row>
    <row r="9" spans="2:19" ht="14.4" x14ac:dyDescent="0.25">
      <c r="B9" s="213" t="s">
        <v>2169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5"/>
      <c r="S9" s="212"/>
    </row>
    <row r="10" spans="2:19" ht="14.4" x14ac:dyDescent="0.25">
      <c r="B10" s="213" t="s">
        <v>2170</v>
      </c>
      <c r="C10" s="216"/>
      <c r="D10" s="216"/>
      <c r="E10" s="216"/>
      <c r="F10" s="216"/>
      <c r="G10" s="216"/>
      <c r="H10" s="216"/>
      <c r="I10" s="216"/>
      <c r="J10" s="216"/>
      <c r="K10" s="217"/>
      <c r="L10" s="216"/>
      <c r="M10" s="216"/>
      <c r="N10" s="216"/>
      <c r="O10" s="216"/>
      <c r="P10" s="216"/>
      <c r="Q10" s="216"/>
      <c r="R10" s="218"/>
      <c r="S10" s="212"/>
    </row>
    <row r="11" spans="2:19" ht="14.4" x14ac:dyDescent="0.25">
      <c r="B11" s="213" t="s">
        <v>94</v>
      </c>
      <c r="C11" s="216" t="s">
        <v>659</v>
      </c>
      <c r="D11" s="216" t="s">
        <v>563</v>
      </c>
      <c r="E11" s="216" t="s">
        <v>679</v>
      </c>
      <c r="F11" s="216" t="s">
        <v>493</v>
      </c>
      <c r="G11" s="216" t="s">
        <v>631</v>
      </c>
      <c r="H11" s="216" t="s">
        <v>649</v>
      </c>
      <c r="I11" s="216" t="s">
        <v>487</v>
      </c>
      <c r="J11" s="216" t="s">
        <v>639</v>
      </c>
      <c r="K11" s="217" t="s">
        <v>435</v>
      </c>
      <c r="L11" s="216" t="s">
        <v>2171</v>
      </c>
      <c r="M11" s="216" t="s">
        <v>669</v>
      </c>
      <c r="N11" s="216" t="s">
        <v>611</v>
      </c>
      <c r="O11" s="216" t="s">
        <v>986</v>
      </c>
      <c r="P11" s="216" t="s">
        <v>571</v>
      </c>
      <c r="Q11" s="216" t="s">
        <v>575</v>
      </c>
      <c r="R11" s="218"/>
      <c r="S11" s="212"/>
    </row>
    <row r="12" spans="2:19" ht="14.4" x14ac:dyDescent="0.25">
      <c r="B12" s="219" t="s">
        <v>194</v>
      </c>
      <c r="C12" s="220"/>
      <c r="D12" s="220"/>
      <c r="E12" s="220"/>
      <c r="F12" s="220"/>
      <c r="G12" s="220"/>
      <c r="H12" s="220"/>
      <c r="I12" s="220"/>
      <c r="J12" s="220"/>
      <c r="K12" s="221"/>
      <c r="L12" s="220"/>
      <c r="M12" s="220"/>
      <c r="N12" s="220"/>
      <c r="O12" s="220"/>
      <c r="P12" s="220"/>
      <c r="Q12" s="220"/>
      <c r="R12" s="222"/>
    </row>
    <row r="13" spans="2:19" x14ac:dyDescent="0.25">
      <c r="G13" s="207"/>
    </row>
    <row r="15" spans="2:19" ht="21" x14ac:dyDescent="0.25">
      <c r="B15" s="223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</row>
    <row r="16" spans="2:19" ht="14.4" x14ac:dyDescent="0.25">
      <c r="B16" s="225"/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</row>
    <row r="17" spans="2:18" ht="14.4" x14ac:dyDescent="0.25">
      <c r="B17" s="225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</row>
    <row r="18" spans="2:18" ht="14.4" x14ac:dyDescent="0.25">
      <c r="B18" s="225"/>
      <c r="C18" s="212"/>
      <c r="D18" s="212"/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212"/>
      <c r="R18" s="212"/>
    </row>
    <row r="19" spans="2:18" ht="14.4" x14ac:dyDescent="0.25">
      <c r="B19" s="225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</row>
    <row r="21" spans="2:18" ht="14.4" x14ac:dyDescent="0.25">
      <c r="B21" s="225"/>
      <c r="C21" s="226"/>
      <c r="D21" s="226"/>
      <c r="E21" s="227"/>
      <c r="F21" s="227"/>
      <c r="G21" s="227"/>
      <c r="H21" s="227"/>
      <c r="I21" s="226"/>
      <c r="J21" s="227"/>
      <c r="K21" s="227"/>
      <c r="L21" s="227"/>
      <c r="M21" s="227"/>
      <c r="N21" s="227"/>
      <c r="O21" s="227"/>
      <c r="P21" s="227"/>
      <c r="Q21" s="227"/>
      <c r="R21" s="227"/>
    </row>
    <row r="22" spans="2:18" ht="14.4" x14ac:dyDescent="0.25">
      <c r="B22" s="225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</row>
    <row r="23" spans="2:18" ht="13.8" x14ac:dyDescent="0.25"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</row>
    <row r="24" spans="2:18" ht="13.8" x14ac:dyDescent="0.25"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</row>
    <row r="25" spans="2:18" ht="13.8" x14ac:dyDescent="0.25">
      <c r="C25" s="212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</row>
  </sheetData>
  <mergeCells count="2">
    <mergeCell ref="C4:O4"/>
    <mergeCell ref="C6:O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F5093C-D13A-4ABD-891C-6D544ABED57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30b0d713-a5c0-44b2-81ea-002580e1d24c}" enabled="1" method="Standard" siteId="{daa14706-6b65-4aec-b001-90a7bef6399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Table1</vt:lpstr>
      <vt:lpstr>TD028 Timesheet (Electronic)</vt:lpstr>
      <vt:lpstr>Booking Codes </vt:lpstr>
      <vt:lpstr>black</vt:lpstr>
      <vt:lpstr>CalWk</vt:lpstr>
      <vt:lpstr>Emp</vt:lpstr>
      <vt:lpstr>EmpConHrs</vt:lpstr>
      <vt:lpstr>F_A__Admin</vt:lpstr>
      <vt:lpstr>IRELAND</vt:lpstr>
      <vt:lpstr>Location</vt:lpstr>
      <vt:lpstr>name</vt:lpstr>
      <vt:lpstr>names</vt:lpstr>
      <vt:lpstr>NName</vt:lpstr>
      <vt:lpstr>PremRates</vt:lpstr>
      <vt:lpstr>'TD028 Timesheet (Electronic)'!Print_Area</vt:lpstr>
      <vt:lpstr>Week</vt:lpstr>
      <vt:lpstr>WkCom</vt:lpstr>
      <vt:lpstr>WkNo</vt:lpstr>
    </vt:vector>
  </TitlesOfParts>
  <Manager>rplant@hima-sella.co.uk</Manager>
  <Company>Hima-Sella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rplant@hima-sella.co.uk</dc:creator>
  <cp:keywords/>
  <dc:description/>
  <cp:lastModifiedBy>Rajeh, Martin</cp:lastModifiedBy>
  <cp:revision/>
  <cp:lastPrinted>2026-06-01T08:34:55Z</cp:lastPrinted>
  <dcterms:created xsi:type="dcterms:W3CDTF">2002-04-08T07:51:33Z</dcterms:created>
  <dcterms:modified xsi:type="dcterms:W3CDTF">2026-06-01T08:36:11Z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b0d713-a5c0-44b2-81ea-002580e1d24c_Enabled">
    <vt:lpwstr>true</vt:lpwstr>
  </property>
  <property fmtid="{D5CDD505-2E9C-101B-9397-08002B2CF9AE}" pid="3" name="MSIP_Label_30b0d713-a5c0-44b2-81ea-002580e1d24c_SetDate">
    <vt:lpwstr>2025-06-10T11:50:06Z</vt:lpwstr>
  </property>
  <property fmtid="{D5CDD505-2E9C-101B-9397-08002B2CF9AE}" pid="4" name="MSIP_Label_30b0d713-a5c0-44b2-81ea-002580e1d24c_Method">
    <vt:lpwstr>Standard</vt:lpwstr>
  </property>
  <property fmtid="{D5CDD505-2E9C-101B-9397-08002B2CF9AE}" pid="5" name="MSIP_Label_30b0d713-a5c0-44b2-81ea-002580e1d24c_Name">
    <vt:lpwstr>Internal</vt:lpwstr>
  </property>
  <property fmtid="{D5CDD505-2E9C-101B-9397-08002B2CF9AE}" pid="6" name="MSIP_Label_30b0d713-a5c0-44b2-81ea-002580e1d24c_SiteId">
    <vt:lpwstr>daa14706-6b65-4aec-b001-90a7bef6399d</vt:lpwstr>
  </property>
  <property fmtid="{D5CDD505-2E9C-101B-9397-08002B2CF9AE}" pid="7" name="MSIP_Label_30b0d713-a5c0-44b2-81ea-002580e1d24c_ActionId">
    <vt:lpwstr>67d51f5b-39da-4edd-b2c7-42d0a283dcae</vt:lpwstr>
  </property>
  <property fmtid="{D5CDD505-2E9C-101B-9397-08002B2CF9AE}" pid="8" name="MSIP_Label_30b0d713-a5c0-44b2-81ea-002580e1d24c_ContentBits">
    <vt:lpwstr>0</vt:lpwstr>
  </property>
</Properties>
</file>